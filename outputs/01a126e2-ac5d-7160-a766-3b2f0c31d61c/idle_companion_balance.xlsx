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a3d8a4e0249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грес" sheetId="1" r:id="R3e481d0819394d2e"/>
    <x:sheet xmlns:r="http://schemas.openxmlformats.org/officeDocument/2006/relationships" name="Формули" sheetId="2" r:id="R1dd2642244a247b4"/>
    <x:sheet xmlns:r="http://schemas.openxmlformats.org/officeDocument/2006/relationships" name="Приклади" sheetId="3" r:id="Rdc69862162024205"/>
    <x:sheet xmlns:r="http://schemas.openxmlformats.org/officeDocument/2006/relationships" name="Коефіцієнти" sheetId="4" r:id="Rce1a7d2d23274297"/>
    <x:sheet xmlns:r="http://schemas.openxmlformats.org/officeDocument/2006/relationships" name="Прогони" sheetId="5" r:id="Rd5f6d43a3f0d41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General"/>
    <x:numFmt numFmtId="201" formatCode="0"/>
    <x:numFmt numFmtId="202" formatCode="0.00"/>
    <x:numFmt numFmtId="203" formatCode="0.0000E+00"/>
    <x:numFmt numFmtId="204" formatCode="0.00%"/>
    <x:numFmt numFmtId="205" formatCode="0.0"/>
    <x:numFmt numFmtId="206" formatCode="0.0%"/>
    <x:numFmt numFmtId="207" formatCode="0.00&quot;×&quot;"/>
    <x:numFmt numFmtId="208" formatCode="#,##0"/>
  </x:numFmts>
  <x:fonts count="7">
    <x:font>
      <x:sz val="11"/>
      <x:name val="Carlito"/>
    </x:font>
    <x:font>
      <x:sz val="10"/>
      <x:color rgb="FF243247"/>
      <x:name val="Arial"/>
    </x:font>
    <x:font>
      <x:b/>
      <x:sz val="15"/>
      <x:color rgb="FF17243B"/>
      <x:name val="Arial"/>
    </x:font>
    <x:font>
      <x:i/>
      <x:sz val="10"/>
      <x:color rgb="FF56657A"/>
      <x:name val="Arial"/>
    </x:font>
    <x:font>
      <x:b/>
      <x:sz val="10"/>
      <x:color rgb="FF243247"/>
      <x:name val="Arial"/>
    </x:font>
    <x:font>
      <x:b/>
      <x:sz val="10"/>
      <x:color rgb="FFFFFFFF"/>
      <x:name val="Arial"/>
    </x:font>
    <x:font>
      <x:sz val="10"/>
      <x:color rgb="FF56657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7EDF5"/>
      </x:patternFill>
    </x:fill>
    <x:fill>
      <x:patternFill patternType="solid">
        <x:fgColor rgb="FF243B60"/>
      </x:patternFill>
    </x:fill>
    <x:fill>
      <x:patternFill patternType="solid">
        <x:fgColor rgb="FFF3F6FA"/>
      </x:patternFill>
    </x:fill>
    <x:fill>
      <x:patternFill patternType="solid">
        <x:fgColor rgb="FFFFF4CE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192AE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4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7" fontId="1" fillId="4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8" fontId="1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ae1a885ee3492a" /><Relationship Type="http://schemas.openxmlformats.org/officeDocument/2006/relationships/theme" Target="/xl/theme/theme1.xml" Id="R8a28295eafa74a63" /><Relationship Type="http://schemas.openxmlformats.org/officeDocument/2006/relationships/sharedStrings" Target="/xl/sharedStrings.xml" Id="Rcfe9198e433f4472" /><Relationship Type="http://schemas.openxmlformats.org/officeDocument/2006/relationships/worksheet" Target="/xl/worksheets/sheet1.xml" Id="R3e481d0819394d2e" /><Relationship Type="http://schemas.openxmlformats.org/officeDocument/2006/relationships/worksheet" Target="/xl/worksheets/sheet2.xml" Id="R1dd2642244a247b4" /><Relationship Type="http://schemas.openxmlformats.org/officeDocument/2006/relationships/worksheet" Target="/xl/worksheets/sheet3.xml" Id="Rdc69862162024205" /><Relationship Type="http://schemas.openxmlformats.org/officeDocument/2006/relationships/worksheet" Target="/xl/worksheets/sheet4.xml" Id="Rce1a7d2d23274297" /><Relationship Type="http://schemas.openxmlformats.org/officeDocument/2006/relationships/worksheet" Target="/xl/worksheets/sheet5.xml" Id="Rd5f6d43a3f0d41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6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"/>
      <x:c r="B1" s="1"/>
      <x:c r="C1" s="1"/>
      <x:c r="D1" s="1"/>
      <x:c r="E1" s="1"/>
    </x:row>
    <x:row r="2" ht="28" customHeight="1">
      <x:c r="A2" s="3" t="str">
        <x:v>Баланс і прогрес за 8 активних годин на день</x:v>
      </x:c>
      <x:c r="B2" s="4"/>
      <x:c r="C2" s="4"/>
      <x:c r="D2" s="4"/>
      <x:c r="E2" s="4"/>
    </x:row>
    <x:row r="3" ht="24" customHeight="1">
      <x:c r="A3" s="5" t="str">
        <x:v>10.10.2026 · 20 seed · медіани. Місяць = 30 днів. У грі покупки ручні.</x:v>
      </x:c>
      <x:c r="B3" s="1"/>
      <x:c r="C3" s="1"/>
      <x:c r="D3" s="1"/>
      <x:c r="E3" s="1"/>
    </x:row>
    <x:row r="4" ht="24" customHeight="1">
      <x:c r="A4" s="1"/>
      <x:c r="B4" s="1"/>
      <x:c r="C4" s="1"/>
      <x:c r="D4" s="1"/>
      <x:c r="E4" s="1"/>
    </x:row>
    <x:row r="5" ht="30" customHeight="1">
      <x:c r="A5" s="28" t="str">
        <x:v>Показник</x:v>
      </x:c>
      <x:c r="B5" s="28" t="str">
        <x:v>1 день</x:v>
      </x:c>
      <x:c r="C5" s="28" t="str">
        <x:v>2 дні</x:v>
      </x:c>
      <x:c r="D5" s="28" t="str">
        <x:v>7 днів</x:v>
      </x:c>
      <x:c r="E5" s="28" t="str">
        <x:v>30 днів</x:v>
      </x:c>
    </x:row>
    <x:row r="7" ht="26" customHeight="1">
      <x:c r="A7" s="7" t="str">
        <x:v>Покупки приблизно раз на годину</x:v>
      </x:c>
      <x:c r="B7" s="7"/>
      <x:c r="C7" s="7"/>
      <x:c r="D7" s="7"/>
      <x:c r="E7" s="7"/>
    </x:row>
    <x:row r="8" ht="25" customHeight="1">
      <x:c r="A8" s="29" t="str">
        <x:v>Активні години</x:v>
      </x:c>
      <x:c r="B8" s="19" t="n">
        <x:f>MEDIAN('Прогони'!M8:M27)</x:f>
        <x:v>8</x:v>
      </x:c>
      <x:c r="C8" s="19" t="n">
        <x:f>MEDIAN('Прогони'!M28:M47)</x:f>
        <x:v>16</x:v>
      </x:c>
      <x:c r="D8" s="19" t="n">
        <x:f>MEDIAN('Прогони'!M48:M67)</x:f>
        <x:v>56</x:v>
      </x:c>
      <x:c r="E8" s="19" t="n">
        <x:f>MEDIAN('Прогони'!M68:M87)</x:f>
        <x:v>240</x:v>
      </x:c>
    </x:row>
    <x:row r="9" ht="25" customHeight="1">
      <x:c r="A9" s="8" t="str">
        <x:v>Stage: медіана</x:v>
      </x:c>
      <x:c r="B9" s="30" t="n">
        <x:f>MEDIAN('Прогони'!D8:D27)</x:f>
        <x:v>217</x:v>
      </x:c>
      <x:c r="C9" s="30" t="n">
        <x:f>MEDIAN('Прогони'!D28:D47)</x:f>
        <x:v>551.5</x:v>
      </x:c>
      <x:c r="D9" s="30" t="n">
        <x:f>MEDIAN('Прогони'!D48:D67)</x:f>
        <x:v>2215</x:v>
      </x:c>
      <x:c r="E9" s="30" t="n">
        <x:f>MEDIAN('Прогони'!D68:D87)</x:f>
        <x:v>5087</x:v>
      </x:c>
    </x:row>
    <x:row r="10" ht="25" customHeight="1">
      <x:c r="A10" s="29" t="str">
        <x:v>Stage: мінімум</x:v>
      </x:c>
      <x:c r="B10" s="19" t="n">
        <x:f>MIN('Прогони'!D8:D27)</x:f>
        <x:v>212</x:v>
      </x:c>
      <x:c r="C10" s="19" t="n">
        <x:f>MIN('Прогони'!D28:D47)</x:f>
        <x:v>546</x:v>
      </x:c>
      <x:c r="D10" s="19" t="n">
        <x:f>MIN('Прогони'!D48:D67)</x:f>
        <x:v>2202</x:v>
      </x:c>
      <x:c r="E10" s="19" t="n">
        <x:f>MIN('Прогони'!D68:D87)</x:f>
        <x:v>5080</x:v>
      </x:c>
    </x:row>
    <x:row r="11" ht="25" customHeight="1">
      <x:c r="A11" s="8" t="str">
        <x:v>Stage: максимум</x:v>
      </x:c>
      <x:c r="B11" s="18" t="n">
        <x:f>MAX('Прогони'!D8:D27)</x:f>
        <x:v>219</x:v>
      </x:c>
      <x:c r="C11" s="18" t="n">
        <x:f>MAX('Прогони'!D28:D47)</x:f>
        <x:v>558</x:v>
      </x:c>
      <x:c r="D11" s="18" t="n">
        <x:f>MAX('Прогони'!D48:D67)</x:f>
        <x:v>2218</x:v>
      </x:c>
      <x:c r="E11" s="18" t="n">
        <x:f>MAX('Прогони'!D68:D87)</x:f>
        <x:v>5093</x:v>
      </x:c>
    </x:row>
    <x:row r="12" ht="25" customHeight="1">
      <x:c r="A12" s="29" t="str">
        <x:v>Найвищий Stage: медіана</x:v>
      </x:c>
      <x:c r="B12" s="31" t="n">
        <x:f>MEDIAN('Прогони'!E8:E27)</x:f>
        <x:v>217.5</x:v>
      </x:c>
      <x:c r="C12" s="31" t="n">
        <x:f>MEDIAN('Прогони'!E28:E47)</x:f>
        <x:v>551.5</x:v>
      </x:c>
      <x:c r="D12" s="31" t="n">
        <x:f>MEDIAN('Прогони'!E48:E67)</x:f>
        <x:v>2215</x:v>
      </x:c>
      <x:c r="E12" s="31" t="n">
        <x:f>MEDIAN('Прогони'!E68:E87)</x:f>
        <x:v>5087</x:v>
      </x:c>
    </x:row>
    <x:row r="13" ht="25" customHeight="1">
      <x:c r="A13" s="8" t="str">
        <x:v>Character Level</x:v>
      </x:c>
      <x:c r="B13" s="30" t="n">
        <x:f>MEDIAN('Прогони'!F8:F27)</x:f>
        <x:v>144</x:v>
      </x:c>
      <x:c r="C13" s="30" t="n">
        <x:f>MEDIAN('Прогони'!F28:F47)</x:f>
        <x:v>340</x:v>
      </x:c>
      <x:c r="D13" s="30" t="n">
        <x:f>MEDIAN('Прогони'!F48:F67)</x:f>
        <x:v>1333</x:v>
      </x:c>
      <x:c r="E13" s="30" t="n">
        <x:f>MEDIAN('Прогони'!F68:F87)</x:f>
        <x:v>3048</x:v>
      </x:c>
    </x:row>
    <x:row r="14" ht="25" customHeight="1">
      <x:c r="A14" s="29" t="str">
        <x:v>Перемоги</x:v>
      </x:c>
      <x:c r="B14" s="31" t="n">
        <x:f>MEDIAN('Прогони'!G8:G27)</x:f>
        <x:v>1891</x:v>
      </x:c>
      <x:c r="C14" s="31" t="n">
        <x:f>MEDIAN('Прогони'!G28:G47)</x:f>
        <x:v>3628.5</x:v>
      </x:c>
      <x:c r="D14" s="31" t="n">
        <x:f>MEDIAN('Прогони'!G48:G67)</x:f>
        <x:v>11941.5</x:v>
      </x:c>
      <x:c r="E14" s="31" t="n">
        <x:f>MEDIAN('Прогони'!G68:G87)</x:f>
        <x:v>26312.5</x:v>
      </x:c>
    </x:row>
    <x:row r="15" ht="25" customHeight="1">
      <x:c r="A15" s="8" t="str">
        <x:v>Смерті</x:v>
      </x:c>
      <x:c r="B15" s="30" t="n">
        <x:f>MEDIAN('Прогони'!H8:H27)</x:f>
        <x:v>123.5</x:v>
      </x:c>
      <x:c r="C15" s="30" t="n">
        <x:f>MEDIAN('Прогони'!H28:H47)</x:f>
        <x:v>132</x:v>
      </x:c>
      <x:c r="D15" s="30" t="n">
        <x:f>MEDIAN('Прогони'!H48:H67)</x:f>
        <x:v>132</x:v>
      </x:c>
      <x:c r="E15" s="30" t="n">
        <x:f>MEDIAN('Прогони'!H68:H87)</x:f>
        <x:v>132</x:v>
      </x:c>
    </x:row>
    <x:row r="16" ht="25" customHeight="1">
      <x:c r="A16" s="29" t="str">
        <x:v>Новий етап, хв: останні 20</x:v>
      </x:c>
      <x:c r="B16" s="21" t="n">
        <x:f>MEDIAN('Прогони'!I8:I27)/60</x:f>
        <x:v>1.3876341243453225</x:v>
      </x:c>
      <x:c r="C16" s="21" t="n">
        <x:f>MEDIAN('Прогони'!I28:I47)/60</x:f>
        <x:v>1.5682429045147122</x:v>
      </x:c>
      <x:c r="D16" s="21" t="n">
        <x:f>MEDIAN('Прогони'!I48:I67)/60</x:f>
        <x:v>1.6296019282868657</x:v>
      </x:c>
      <x:c r="E16" s="21" t="n">
        <x:f>MEDIAN('Прогони'!I68:I87)/60</x:f>
        <x:v>9.333029352892481</x:v>
      </x:c>
    </x:row>
    <x:row r="17" ht="25" customHeight="1">
      <x:c r="A17" s="8" t="str">
        <x:v>Бій, с: останні 200 kills</x:v>
      </x:c>
      <x:c r="B17" s="20" t="n">
        <x:f>MEDIAN('Прогони'!J8:J27)</x:f>
        <x:v>5.35</x:v>
      </x:c>
      <x:c r="C17" s="20" t="n">
        <x:f>MEDIAN('Прогони'!J28:J47)</x:f>
        <x:v>4.35</x:v>
      </x:c>
      <x:c r="D17" s="20" t="n">
        <x:f>MEDIAN('Прогони'!J48:J67)</x:f>
        <x:v>9.85</x:v>
      </x:c>
      <x:c r="E17" s="20" t="n">
        <x:f>MEDIAN('Прогони'!J68:J87)</x:f>
        <x:v>99.35</x:v>
      </x:c>
    </x:row>
    <x:row r="18" ht="25" customHeight="1">
      <x:c r="A18" s="29" t="str">
        <x:v>Kills за останню годину</x:v>
      </x:c>
      <x:c r="B18" s="31" t="n">
        <x:f>MEDIAN('Прогони'!AQ8:AQ27)</x:f>
        <x:v>218</x:v>
      </x:c>
      <x:c r="C18" s="31" t="n">
        <x:f>MEDIAN('Прогони'!AQ28:AQ47)</x:f>
        <x:v>227</x:v>
      </x:c>
      <x:c r="D18" s="31" t="n">
        <x:f>MEDIAN('Прогони'!AQ48:AQ67)</x:f>
        <x:v>176</x:v>
      </x:c>
      <x:c r="E18" s="31" t="n">
        <x:f>MEDIAN('Прогони'!AQ68:AQ87)</x:f>
        <x:v>32</x:v>
      </x:c>
    </x:row>
    <x:row r="19" ht="25" customHeight="1">
      <x:c r="A19" s="8" t="str">
        <x:v>Net Stage за останню годину</x:v>
      </x:c>
      <x:c r="B19" s="30" t="n">
        <x:f>MEDIAN('Прогони'!AS8:AS27)</x:f>
        <x:v>35</x:v>
      </x:c>
      <x:c r="C19" s="30" t="n">
        <x:f>MEDIAN('Прогони'!AS28:AS47)</x:f>
        <x:v>45</x:v>
      </x:c>
      <x:c r="D19" s="30" t="n">
        <x:f>MEDIAN('Прогони'!AS48:AS67)</x:f>
        <x:v>35</x:v>
      </x:c>
      <x:c r="E19" s="30" t="n">
        <x:f>MEDIAN('Прогони'!AS68:AS87)</x:f>
        <x:v>6</x:v>
      </x:c>
    </x:row>
    <x:row r="20" ht="25" customHeight="1">
      <x:c r="A20" s="29" t="str">
        <x:v>Смерті за останню годину</x:v>
      </x:c>
      <x:c r="B20" s="31" t="n">
        <x:f>MEDIAN('Прогони'!AR8:AR27)</x:f>
        <x:v>6</x:v>
      </x:c>
      <x:c r="C20" s="31" t="n">
        <x:f>MEDIAN('Прогони'!AR28:AR47)</x:f>
        <x:v>0</x:v>
      </x:c>
      <x:c r="D20" s="31" t="n">
        <x:f>MEDIAN('Прогони'!AR48:AR67)</x:f>
        <x:v>0</x:v>
      </x:c>
      <x:c r="E20" s="31" t="n">
        <x:f>MEDIAN('Прогони'!AR68:AR87)</x:f>
        <x:v>0</x:v>
      </x:c>
    </x:row>
    <x:row r="21" ht="26" customHeight="1">
      <x:c r="A21" s="7" t="str">
        <x:v>Характеристики героя</x:v>
      </x:c>
      <x:c r="B21" s="7"/>
      <x:c r="C21" s="7"/>
      <x:c r="D21" s="7"/>
      <x:c r="E21" s="7"/>
    </x:row>
    <x:row r="22" ht="25" customHeight="1">
      <x:c r="A22" s="29" t="str">
        <x:v>Max HP</x:v>
      </x:c>
      <x:c r="B22" s="23" t="n">
        <x:f>MEDIAN('Прогони'!O8:O27)</x:f>
        <x:v>295572787.74420226</x:v>
      </x:c>
      <x:c r="C22" s="23" t="n">
        <x:f>MEDIAN('Прогони'!O28:O47)</x:f>
        <x:v>9248636047036498000</x:v>
      </x:c>
      <x:c r="D22" s="23" t="n">
        <x:f>MEDIAN('Прогони'!O48:O67)</x:f>
        <x:v>8.1944292132611e+73</x:v>
      </x:c>
      <x:c r="E22" s="23" t="n">
        <x:f>MEDIAN('Прогони'!O68:O87)</x:f>
        <x:v>6.406438958079586e+168</x:v>
      </x:c>
    </x:row>
    <x:row r="23" ht="25" customHeight="1">
      <x:c r="A23" s="8" t="str">
        <x:v>Damage</x:v>
      </x:c>
      <x:c r="B23" s="22" t="n">
        <x:f>MEDIAN('Прогони'!Q8:Q27)</x:f>
        <x:v>34483491.90349025</x:v>
      </x:c>
      <x:c r="C23" s="22" t="n">
        <x:f>MEDIAN('Прогони'!Q28:Q47)</x:f>
        <x:v>1079007538820933100</x:v>
      </x:c>
      <x:c r="D23" s="22" t="n">
        <x:f>MEDIAN('Прогони'!Q48:Q67)</x:f>
        <x:v>9.560167415471278e+72</x:v>
      </x:c>
      <x:c r="E23" s="22" t="n">
        <x:f>MEDIAN('Прогони'!Q68:Q87)</x:f>
        <x:v>7.474178784426058e+167</x:v>
      </x:c>
    </x:row>
    <x:row r="24" ht="25" customHeight="1">
      <x:c r="A24" s="29" t="str">
        <x:v>Очікуваний DPS</x:v>
      </x:c>
      <x:c r="B24" s="23" t="n">
        <x:f>MEDIAN('Прогони'!R8:R27)</x:f>
        <x:v>62196495.00664926</x:v>
      </x:c>
      <x:c r="C24" s="23" t="n">
        <x:f>MEDIAN('Прогони'!R28:R47)</x:f>
        <x:v>6664749025336830000</x:v>
      </x:c>
      <x:c r="D24" s="23" t="n">
        <x:f>MEDIAN('Прогони'!R48:R67)</x:f>
        <x:v>2.3953955476205147e+74</x:v>
      </x:c>
      <x:c r="E24" s="23" t="n">
        <x:f>MEDIAN('Прогони'!R68:R87)</x:f>
        <x:v>4.237579435050097e+169</x:v>
      </x:c>
    </x:row>
    <x:row r="25" ht="25" customHeight="1">
      <x:c r="A25" s="8" t="str">
        <x:v>Crit chance</x:v>
      </x:c>
      <x:c r="B25" s="32" t="n">
        <x:f>MEDIAN('Прогони'!S8:S27)</x:f>
        <x:v>0.28600000000000003</x:v>
      </x:c>
      <x:c r="C25" s="32" t="n">
        <x:f>MEDIAN('Прогони'!S28:S47)</x:f>
        <x:v>0.722</x:v>
      </x:c>
      <x:c r="D25" s="32" t="n">
        <x:f>MEDIAN('Прогони'!S48:S67)</x:f>
        <x:v>0.8</x:v>
      </x:c>
      <x:c r="E25" s="32" t="n">
        <x:f>MEDIAN('Прогони'!S68:S87)</x:f>
        <x:v>0.8</x:v>
      </x:c>
    </x:row>
    <x:row r="26" ht="25" customHeight="1">
      <x:c r="A26" s="29" t="str">
        <x:v>Crit multiplier</x:v>
      </x:c>
      <x:c r="B26" s="34" t="n">
        <x:f>MEDIAN('Прогони'!T8:T27)</x:f>
        <x:v>3.81</x:v>
      </x:c>
      <x:c r="C26" s="34" t="n">
        <x:f>MEDIAN('Прогони'!T28:T47)</x:f>
        <x:v>8.17</x:v>
      </x:c>
      <x:c r="D26" s="34" t="n">
        <x:f>MEDIAN('Прогони'!T48:T67)</x:f>
        <x:v>31.07</x:v>
      </x:c>
      <x:c r="E26" s="34" t="n">
        <x:f>MEDIAN('Прогони'!T68:T87)</x:f>
        <x:v>70.625</x:v>
      </x:c>
    </x:row>
    <x:row r="27" ht="26" customHeight="1">
      <x:c r="A27" s="7" t="str">
        <x:v>Куплені рівні</x:v>
      </x:c>
      <x:c r="B27" s="7"/>
      <x:c r="C27" s="7"/>
      <x:c r="D27" s="7"/>
      <x:c r="E27" s="7"/>
    </x:row>
    <x:row r="28" ht="25" customHeight="1">
      <x:c r="A28" s="29" t="str">
        <x:v>Equipment: weapon</x:v>
      </x:c>
      <x:c r="B28" s="31" t="n">
        <x:f>MEDIAN('Прогони'!AD8:AD27)</x:f>
        <x:v>139</x:v>
      </x:c>
      <x:c r="C28" s="31" t="n">
        <x:f>MEDIAN('Прогони'!AD28:AD47)</x:f>
        <x:v>371</x:v>
      </x:c>
      <x:c r="D28" s="31" t="n">
        <x:f>MEDIAN('Прогони'!AD48:AD67)</x:f>
        <x:v>1586.5</x:v>
      </x:c>
      <x:c r="E28" s="31" t="n">
        <x:f>MEDIAN('Прогони'!AD68:AD87)</x:f>
        <x:v>3687</x:v>
      </x:c>
    </x:row>
    <x:row r="29" ht="25" customHeight="1">
      <x:c r="A29" s="8" t="str">
        <x:v>Equipment: armor</x:v>
      </x:c>
      <x:c r="B29" s="30" t="n">
        <x:f>MEDIAN('Прогони'!AE8:AE27)</x:f>
        <x:v>139</x:v>
      </x:c>
      <x:c r="C29" s="30" t="n">
        <x:f>MEDIAN('Прогони'!AE28:AE47)</x:f>
        <x:v>371</x:v>
      </x:c>
      <x:c r="D29" s="30" t="n">
        <x:f>MEDIAN('Прогони'!AE48:AE67)</x:f>
        <x:v>1586.5</x:v>
      </x:c>
      <x:c r="E29" s="30" t="n">
        <x:f>MEDIAN('Прогони'!AE68:AE87)</x:f>
        <x:v>3687</x:v>
      </x:c>
    </x:row>
    <x:row r="30" ht="25" customHeight="1">
      <x:c r="A30" s="29" t="str">
        <x:v>Equipment: helmet</x:v>
      </x:c>
      <x:c r="B30" s="31" t="n">
        <x:f>MEDIAN('Прогони'!AF8:AF27)</x:f>
        <x:v>128</x:v>
      </x:c>
      <x:c r="C30" s="31" t="n">
        <x:f>MEDIAN('Прогони'!AF28:AF47)</x:f>
        <x:v>359</x:v>
      </x:c>
      <x:c r="D30" s="31" t="n">
        <x:f>MEDIAN('Прогони'!AF48:AF67)</x:f>
        <x:v>1575</x:v>
      </x:c>
      <x:c r="E30" s="31" t="n">
        <x:f>MEDIAN('Прогони'!AF68:AF87)</x:f>
        <x:v>3676</x:v>
      </x:c>
    </x:row>
    <x:row r="31" ht="25" customHeight="1">
      <x:c r="A31" s="8" t="str">
        <x:v>Equipment: amulet</x:v>
      </x:c>
      <x:c r="B31" s="30" t="n">
        <x:f>MEDIAN('Прогони'!AG8:AG27)</x:f>
        <x:v>126</x:v>
      </x:c>
      <x:c r="C31" s="30" t="n">
        <x:f>MEDIAN('Прогони'!AG28:AG47)</x:f>
        <x:v>357</x:v>
      </x:c>
      <x:c r="D31" s="30" t="n">
        <x:f>MEDIAN('Прогони'!AG48:AG67)</x:f>
        <x:v>1573</x:v>
      </x:c>
      <x:c r="E31" s="30" t="n">
        <x:f>MEDIAN('Прогони'!AG68:AG87)</x:f>
        <x:v>3674</x:v>
      </x:c>
    </x:row>
    <x:row r="32" ht="25" customHeight="1">
      <x:c r="A32" s="29" t="str">
        <x:v>Books: damage</x:v>
      </x:c>
      <x:c r="B32" s="31" t="n">
        <x:f>MEDIAN('Прогони'!AH8:AH27)</x:f>
        <x:v>118.5</x:v>
      </x:c>
      <x:c r="C32" s="31" t="n">
        <x:f>MEDIAN('Прогони'!AH28:AH47)</x:f>
        <x:v>323.5</x:v>
      </x:c>
      <x:c r="D32" s="31" t="n">
        <x:f>MEDIAN('Прогони'!AH48:AH67)</x:f>
        <x:v>1397</x:v>
      </x:c>
      <x:c r="E32" s="31" t="n">
        <x:f>MEDIAN('Прогони'!AH68:AH87)</x:f>
        <x:v>3252</x:v>
      </x:c>
    </x:row>
    <x:row r="33" ht="25" customHeight="1">
      <x:c r="A33" s="8" t="str">
        <x:v>Books: hp</x:v>
      </x:c>
      <x:c r="B33" s="30" t="n">
        <x:f>MEDIAN('Прогони'!AI8:AI27)</x:f>
        <x:v>118.5</x:v>
      </x:c>
      <x:c r="C33" s="30" t="n">
        <x:f>MEDIAN('Прогони'!AI28:AI47)</x:f>
        <x:v>323.5</x:v>
      </x:c>
      <x:c r="D33" s="30" t="n">
        <x:f>MEDIAN('Прогони'!AI48:AI67)</x:f>
        <x:v>1397</x:v>
      </x:c>
      <x:c r="E33" s="30" t="n">
        <x:f>MEDIAN('Прогони'!AI68:AI87)</x:f>
        <x:v>3252</x:v>
      </x:c>
    </x:row>
    <x:row r="34" ht="25" customHeight="1">
      <x:c r="A34" s="29" t="str">
        <x:v>Books: crit</x:v>
      </x:c>
      <x:c r="B34" s="31" t="n">
        <x:f>MEDIAN('Прогони'!AJ8:AJ27)</x:f>
        <x:v>107.5</x:v>
      </x:c>
      <x:c r="C34" s="31" t="n">
        <x:f>MEDIAN('Прогони'!AJ28:AJ47)</x:f>
        <x:v>313</x:v>
      </x:c>
      <x:c r="D34" s="31" t="n">
        <x:f>MEDIAN('Прогони'!AJ48:AJ67)</x:f>
        <x:v>1386</x:v>
      </x:c>
      <x:c r="E34" s="31" t="n">
        <x:f>MEDIAN('Прогони'!AJ68:AJ87)</x:f>
        <x:v>3241</x:v>
      </x:c>
    </x:row>
    <x:row r="35" ht="25" customHeight="1">
      <x:c r="A35" s="8" t="str">
        <x:v>Books: critDamage</x:v>
      </x:c>
      <x:c r="B35" s="30" t="n">
        <x:f>MEDIAN('Прогони'!AK8:AK27)</x:f>
        <x:v>105</x:v>
      </x:c>
      <x:c r="C35" s="30" t="n">
        <x:f>MEDIAN('Прогони'!AK28:AK47)</x:f>
        <x:v>310</x:v>
      </x:c>
      <x:c r="D35" s="30" t="n">
        <x:f>MEDIAN('Прогони'!AK48:AK67)</x:f>
        <x:v>1383.5</x:v>
      </x:c>
      <x:c r="E35" s="30" t="n">
        <x:f>MEDIAN('Прогони'!AK68:AK87)</x:f>
        <x:v>3238.5</x:v>
      </x:c>
    </x:row>
    <x:row r="36" ht="26" customHeight="1">
      <x:c r="A36" s="7" t="str">
        <x:v>Накопичені валюти</x:v>
      </x:c>
      <x:c r="B36" s="7"/>
      <x:c r="C36" s="7"/>
      <x:c r="D36" s="7"/>
      <x:c r="E36" s="7"/>
    </x:row>
    <x:row r="37" ht="25" customHeight="1">
      <x:c r="A37" s="8" t="str">
        <x:v>Gold зароблено</x:v>
      </x:c>
      <x:c r="B37" s="22" t="n">
        <x:f>MEDIAN('Прогони'!AB8:AB27)</x:f>
        <x:v>879643614987.7809</x:v>
      </x:c>
      <x:c r="C37" s="22" t="n">
        <x:f>MEDIAN('Прогони'!AB28:AB47)</x:f>
        <x:v>3.8155274771568816e+25</x:v>
      </x:c>
      <x:c r="D37" s="22" t="n">
        <x:f>MEDIAN('Прогони'!AB48:AB67)</x:f>
        <x:v>2.7189011311880657e+94</x:v>
      </x:c>
      <x:c r="E37" s="22" t="n">
        <x:f>MEDIAN('Прогони'!AB68:AB87)</x:f>
        <x:v>2.121552729996331e+213</x:v>
      </x:c>
    </x:row>
    <x:row r="38" ht="25" customHeight="1">
      <x:c r="A38" s="29" t="str">
        <x:v>Gold витрачено</x:v>
      </x:c>
      <x:c r="B38" s="23" t="n">
        <x:f>MEDIAN('Прогони'!Z8:Z27)</x:f>
        <x:v>32985502636.990044</x:v>
      </x:c>
      <x:c r="C38" s="23" t="n">
        <x:f>MEDIAN('Прогони'!Z28:Z47)</x:f>
        <x:v>5.6309637380338604e+23</x:v>
      </x:c>
      <x:c r="D38" s="23" t="n">
        <x:f>MEDIAN('Прогони'!Z48:Z67)</x:f>
        <x:v>1.4367101322960224e+93</x:v>
      </x:c>
      <x:c r="E38" s="23" t="n">
        <x:f>MEDIAN('Прогони'!Z68:Z87)</x:f>
        <x:v>1.2371166781927296e+213</x:v>
      </x:c>
    </x:row>
    <x:row r="39" ht="25" customHeight="1">
      <x:c r="A39" s="8" t="str">
        <x:v>Gold залишок</x:v>
      </x:c>
      <x:c r="B39" s="22" t="n">
        <x:f>MEDIAN('Прогони'!X8:X27)</x:f>
        <x:v>844340880738.042</x:v>
      </x:c>
      <x:c r="C39" s="22" t="n">
        <x:f>MEDIAN('Прогони'!X28:X47)</x:f>
        <x:v>3.764555084764099e+25</x:v>
      </x:c>
      <x:c r="D39" s="22" t="n">
        <x:f>MEDIAN('Прогони'!X48:X67)</x:f>
        <x:v>2.5749291380127458e+94</x:v>
      </x:c>
      <x:c r="E39" s="22" t="n">
        <x:f>MEDIAN('Прогони'!X68:X87)</x:f>
        <x:v>8.851124421371316e+212</x:v>
      </x:c>
    </x:row>
    <x:row r="40" ht="25" customHeight="1">
      <x:c r="A40" s="29" t="str">
        <x:v>Books зароблено</x:v>
      </x:c>
      <x:c r="B40" s="23" t="n">
        <x:f>MEDIAN('Прогони'!AC8:AC27)</x:f>
        <x:v>18110701411.86885</x:v>
      </x:c>
      <x:c r="C40" s="23" t="n">
        <x:f>MEDIAN('Прогони'!AC28:AC47)</x:f>
        <x:v>8.49960684783604e+23</x:v>
      </x:c>
      <x:c r="D40" s="23" t="n">
        <x:f>MEDIAN('Прогони'!AC48:AC67)</x:f>
        <x:v>6.06941934550458e+92</x:v>
      </x:c>
      <x:c r="E40" s="23" t="n">
        <x:f>MEDIAN('Прогони'!AC68:AC87)</x:f>
        <x:v>4.745869051661509e+211</x:v>
      </x:c>
    </x:row>
    <x:row r="41" ht="25" customHeight="1">
      <x:c r="A41" s="8" t="str">
        <x:v>Books витрачено</x:v>
      </x:c>
      <x:c r="B41" s="22" t="n">
        <x:f>MEDIAN('Прогони'!AA8:AA27)</x:f>
        <x:v>759386928.6707625</x:v>
      </x:c>
      <x:c r="C41" s="22" t="n">
        <x:f>MEDIAN('Прогони'!AA28:AA47)</x:f>
        <x:v>1.3721979399379733e+22</x:v>
      </x:c>
      <x:c r="D41" s="22" t="n">
        <x:f>MEDIAN('Прогони'!AA48:AA67)</x:f>
        <x:v>3.3753714170193774e+91</x:v>
      </x:c>
      <x:c r="E41" s="22" t="n">
        <x:f>MEDIAN('Прогони'!AA68:AA87)</x:f>
        <x:v>2.786539203437663e+211</x:v>
      </x:c>
    </x:row>
    <x:row r="42" ht="25" customHeight="1">
      <x:c r="A42" s="29" t="str">
        <x:v>Books залишок</x:v>
      </x:c>
      <x:c r="B42" s="23" t="n">
        <x:f>MEDIAN('Прогони'!Y8:Y27)</x:f>
        <x:v>17383007245.767624</x:v>
      </x:c>
      <x:c r="C42" s="23" t="n">
        <x:f>MEDIAN('Прогони'!Y28:Y47)</x:f>
        <x:v>8.405923279808103e+23</x:v>
      </x:c>
      <x:c r="D42" s="23" t="n">
        <x:f>MEDIAN('Прогони'!Y48:Y67)</x:f>
        <x:v>5.754543222288335e+92</x:v>
      </x:c>
      <x:c r="E42" s="23" t="n">
        <x:f>MEDIAN('Прогони'!Y68:Y87)</x:f>
        <x:v>2.076125165405122e+211</x:v>
      </x:c>
    </x:row>
    <x:row r="43" ht="26" customHeight="1">
      <x:c r="A43" s="7" t="str">
        <x:v>Без покупок: повторний фарм і XP</x:v>
      </x:c>
      <x:c r="B43" s="7"/>
      <x:c r="C43" s="7"/>
      <x:c r="D43" s="7"/>
      <x:c r="E43" s="7"/>
    </x:row>
    <x:row r="44" ht="25" customHeight="1">
      <x:c r="A44" s="29" t="str">
        <x:v>Stage</x:v>
      </x:c>
      <x:c r="B44" s="31" t="n">
        <x:f>MEDIAN('Прогони'!D88:D107)</x:f>
        <x:v>13</x:v>
      </x:c>
      <x:c r="C44" s="31" t="n">
        <x:f>MEDIAN('Прогони'!D108:D127)</x:f>
        <x:v>14.5</x:v>
      </x:c>
      <x:c r="D44" s="31" t="n">
        <x:f>MEDIAN('Прогони'!D128:D147)</x:f>
        <x:v>17</x:v>
      </x:c>
      <x:c r="E44" s="31" t="n">
        <x:f>MEDIAN('Прогони'!D148:D167)</x:f>
        <x:v>20</x:v>
      </x:c>
    </x:row>
    <x:row r="45" ht="25" customHeight="1">
      <x:c r="A45" s="8" t="str">
        <x:v>Найвищий Stage</x:v>
      </x:c>
      <x:c r="B45" s="30" t="n">
        <x:f>MEDIAN('Прогони'!E88:E107)</x:f>
        <x:v>14</x:v>
      </x:c>
      <x:c r="C45" s="30" t="n">
        <x:f>MEDIAN('Прогони'!E108:E127)</x:f>
        <x:v>15</x:v>
      </x:c>
      <x:c r="D45" s="30" t="n">
        <x:f>MEDIAN('Прогони'!E128:E147)</x:f>
        <x:v>18</x:v>
      </x:c>
      <x:c r="E45" s="30" t="n">
        <x:f>MEDIAN('Прогони'!E148:E167)</x:f>
        <x:v>21</x:v>
      </x:c>
    </x:row>
    <x:row r="46" ht="25" customHeight="1">
      <x:c r="A46" s="29" t="str">
        <x:v>Character Level</x:v>
      </x:c>
      <x:c r="B46" s="31" t="n">
        <x:f>MEDIAN('Прогони'!F88:F107)</x:f>
        <x:v>46</x:v>
      </x:c>
      <x:c r="C46" s="31" t="n">
        <x:f>MEDIAN('Прогони'!F108:F127)</x:f>
        <x:v>53</x:v>
      </x:c>
      <x:c r="D46" s="31" t="n">
        <x:f>MEDIAN('Прогони'!F128:F147)</x:f>
        <x:v>65</x:v>
      </x:c>
      <x:c r="E46" s="31" t="n">
        <x:f>MEDIAN('Прогони'!F148:F167)</x:f>
        <x:v>80</x:v>
      </x:c>
    </x:row>
    <x:row r="47" ht="25" customHeight="1">
      <x:c r="A47" s="8" t="str">
        <x:v>Kills</x:v>
      </x:c>
      <x:c r="B47" s="30" t="n">
        <x:f>MEDIAN('Прогони'!G88:G107)</x:f>
        <x:v>1787</x:v>
      </x:c>
      <x:c r="C47" s="30" t="n">
        <x:f>MEDIAN('Прогони'!G108:G127)</x:f>
        <x:v>3589</x:v>
      </x:c>
      <x:c r="D47" s="30" t="n">
        <x:f>MEDIAN('Прогони'!G128:G147)</x:f>
        <x:v>12577</x:v>
      </x:c>
      <x:c r="E47" s="30" t="n">
        <x:f>MEDIAN('Прогони'!G148:G167)</x:f>
        <x:v>53093.5</x:v>
      </x:c>
    </x:row>
    <x:row r="48" ht="25" customHeight="1">
      <x:c r="A48" s="29" t="str">
        <x:v>Deaths</x:v>
      </x:c>
      <x:c r="B48" s="31" t="n">
        <x:f>MEDIAN('Прогони'!H88:H107)</x:f>
        <x:v>316.5</x:v>
      </x:c>
      <x:c r="C48" s="31" t="n">
        <x:f>MEDIAN('Прогони'!H108:H127)</x:f>
        <x:v>635</x:v>
      </x:c>
      <x:c r="D48" s="31" t="n">
        <x:f>MEDIAN('Прогони'!H128:H147)</x:f>
        <x:v>2207.5</x:v>
      </x:c>
      <x:c r="E48" s="31" t="n">
        <x:f>MEDIAN('Прогони'!H148:H167)</x:f>
        <x:v>9645</x:v>
      </x:c>
    </x:row>
    <x:row r="49" ht="25" customHeight="1">
      <x:c r="A49" s="8" t="str">
        <x:v>DPS</x:v>
      </x:c>
      <x:c r="B49" s="20" t="n">
        <x:f>MEDIAN('Прогони'!R88:R107)</x:f>
        <x:v>28.042956756795572</x:v>
      </x:c>
      <x:c r="C49" s="20" t="n">
        <x:f>MEDIAN('Прогони'!R108:R127)</x:f>
        <x:v>31.123332899254155</x:v>
      </x:c>
      <x:c r="D49" s="20" t="n">
        <x:f>MEDIAN('Прогони'!R128:R147)</x:f>
        <x:v>37.21162237079485</x:v>
      </x:c>
      <x:c r="E49" s="20" t="n">
        <x:f>MEDIAN('Прогони'!R148:R167)</x:f>
        <x:v>46.52316354020072</x:v>
      </x:c>
    </x:row>
    <x:row r="50" ht="25" customHeight="1">
      <x:c r="A50" s="29" t="str">
        <x:v>Gold</x:v>
      </x:c>
      <x:c r="B50" s="36" t="n">
        <x:f>MEDIAN('Прогони'!AB88:AB107)</x:f>
        <x:v>56126.90973761903</x:v>
      </x:c>
      <x:c r="C50" s="36" t="n">
        <x:f>MEDIAN('Прогони'!AB108:AB127)</x:f>
        <x:v>127045.02285481978</x:v>
      </x:c>
      <x:c r="D50" s="36" t="n">
        <x:f>MEDIAN('Прогони'!AB128:AB147)</x:f>
        <x:v>568342.4904600468</x:v>
      </x:c>
      <x:c r="E50" s="36" t="n">
        <x:f>MEDIAN('Прогони'!AB148:AB167)</x:f>
        <x:v>3265606.0125281457</x:v>
      </x:c>
    </x:row>
    <x:row r="51" ht="25" customHeight="1">
      <x:c r="A51" s="8" t="str">
        <x:v>Books</x:v>
      </x:c>
      <x:c r="B51" s="35" t="n">
        <x:f>MEDIAN('Прогони'!AC88:AC107)</x:f>
        <x:v>1308.7000034089224</x:v>
      </x:c>
      <x:c r="C51" s="35" t="n">
        <x:f>MEDIAN('Прогони'!AC108:AC127)</x:f>
        <x:v>2959.531514192855</x:v>
      </x:c>
      <x:c r="D51" s="35" t="n">
        <x:f>MEDIAN('Прогони'!AC128:AC147)</x:f>
        <x:v>13340.262439191447</x:v>
      </x:c>
      <x:c r="E51" s="35" t="n">
        <x:f>MEDIAN('Прогони'!AC148:AC167)</x:f>
        <x:v>76342.49289067113</x:v>
      </x:c>
    </x:row>
    <x:row r="54" ht="24" customHeight="1">
      <x:c r="A54" s="37" t="str">
        <x:v>Медіани різних метрик не описують один конкретний seed.</x:v>
      </x:c>
      <x:c r="B54" s="37"/>
      <x:c r="C54" s="37"/>
      <x:c r="D54" s="37"/>
      <x:c r="E54" s="37"/>
    </x:row>
    <x:row r="55" ht="24" customHeight="1">
      <x:c r="A55" s="37" t="str">
        <x:v>Розподіл валют: damage 37.5%, HP 37.5%, crit 15%, crit damage 10%.</x:v>
      </x:c>
      <x:c r="B55" s="37"/>
      <x:c r="C55" s="37"/>
      <x:c r="D55" s="37"/>
      <x:c r="E55" s="37"/>
    </x:row>
    <x:row r="56" ht="24" customHeight="1">
      <x:c r="A56" s="37" t="str">
        <x:v>Модель купує crit після cap 80%. Це дає витрати без збільшення chance.</x:v>
      </x:c>
      <x:c r="B56" s="37"/>
      <x:c r="C56" s="37"/>
      <x:c r="D56" s="37"/>
      <x:c r="E56" s="37"/>
    </x:row>
    <x:row r="57" ht="24" customHeight="1">
      <x:c r="A57" s="37" t="str">
        <x:v>Rest після 30 с без вводу зупиняє пригоди; offline rewards немає.</x:v>
      </x:c>
      <x:c r="B57" s="37"/>
      <x:c r="C57" s="37"/>
      <x:c r="D57" s="37"/>
      <x:c r="E57" s="37"/>
    </x:row>
    <x:row r="58" ht="24" customHeight="1">
      <x:c r="A58" s="37" t="str">
        <x:v>Зміна коефіцієнтів не перераховує ці runs. Потрібен новий запуск Dart.</x:v>
      </x:c>
      <x:c r="B58" s="37"/>
      <x:c r="C58" s="37"/>
      <x:c r="D58" s="37"/>
      <x:c r="E58" s="3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5" hidden="0" customWidth="1"/>
    <x:col min="2" max="2" width="89" hidden="0" customWidth="1"/>
    <x:col min="3" max="3" width="85" hidden="0" customWidth="1"/>
  </x:cols>
  <x:sheetData>
    <x:row r="1" ht="24" customHeight="1">
      <x:c r="A1" s="1"/>
      <x:c r="B1" s="1"/>
      <x:c r="C1" s="1"/>
    </x:row>
    <x:row r="2" ht="28" customHeight="1">
      <x:c r="A2" s="3" t="str">
        <x:v>Формули, таймінги та правила</x:v>
      </x:c>
      <x:c r="B2" s="4"/>
      <x:c r="C2" s="4"/>
    </x:row>
    <x:row r="3" ht="24" customHeight="1">
      <x:c r="A3" s="5" t="str">
        <x:v>L — character level; s — Stage; n — куплені рівні. Розрахунок: tool/balance_audit.dart.</x:v>
      </x:c>
      <x:c r="B3" s="1"/>
      <x:c r="C3" s="1"/>
    </x:row>
    <x:row r="4" ht="24" customHeight="1">
      <x:c r="A4" s="1"/>
      <x:c r="B4" s="1"/>
      <x:c r="C4" s="1"/>
    </x:row>
    <x:row r="5" ht="25" customHeight="1">
      <x:c r="A5" s="7" t="str">
        <x:v>Усі діючі формули та підтримані криві</x:v>
      </x:c>
      <x:c r="B5" s="7"/>
      <x:c r="C5" s="7"/>
    </x:row>
    <x:row r="7" ht="42" customHeight="1">
      <x:c r="A7" s="13" t="str">
        <x:v>Що</x:v>
      </x:c>
      <x:c r="B7" s="13" t="str">
        <x:v>Формула</x:v>
      </x:c>
      <x:c r="C7" s="13" t="str">
        <x:v>Умова</x:v>
      </x:c>
    </x:row>
    <x:row r="8" ht="40" customHeight="1">
      <x:c r="A8" s="15" t="str">
        <x:v>HP героя</x:v>
      </x:c>
      <x:c r="B8" s="15" t="str">
        <x:v>120 × 1.015^(L−1) × 1.05^(hp + armor)</x:v>
      </x:c>
      <x:c r="C8" s="15" t="str">
        <x:v>Рівень L; придбані рівні hp та armor</x:v>
      </x:c>
    </x:row>
    <x:row r="9" ht="40" customHeight="1">
      <x:c r="A9" s="16" t="str">
        <x:v>Damage героя</x:v>
      </x:c>
      <x:c r="B9" s="16" t="str">
        <x:v>14 × 1.015^(L−1) × 1.05^(damage + weapon)</x:v>
      </x:c>
      <x:c r="C9" s="16" t="str">
        <x:v>Обидва джерела множаться</x:v>
      </x:c>
    </x:row>
    <x:row r="10" ht="40" customHeight="1">
      <x:c r="A10" s="15" t="str">
        <x:v>Crit chance</x:v>
      </x:c>
      <x:c r="B10" s="15" t="str">
        <x:v>min(0.80, 0.05 + 0.001 × (crit + helmet))</x:v>
      </x:c>
      <x:c r="C10" s="15" t="str">
        <x:v>+0.1 відсоткового пункту/рівень</x:v>
      </x:c>
    </x:row>
    <x:row r="11" ht="40" customHeight="1">
      <x:c r="A11" s="16" t="str">
        <x:v>Crit damage</x:v>
      </x:c>
      <x:c r="B11" s="16" t="str">
        <x:v>1.50 + 0.01 × (critDamage + amulet)</x:v>
      </x:c>
      <x:c r="C11" s="16" t="str">
        <x:v>+0.01×/рівень; cap немає</x:v>
      </x:c>
    </x:row>
    <x:row r="12" ht="40" customHeight="1">
      <x:c r="A12" s="15" t="str">
        <x:v>DPS</x:v>
      </x:c>
      <x:c r="B12" s="15" t="str">
        <x:v>Damage × attacksPerSecond × (1 + chance × (critMultiplier−1))</x:v>
      </x:c>
      <x:c r="C12" s="15" t="str">
        <x:v>Математичне очікування; не виміряний damage за секунду</x:v>
      </x:c>
    </x:row>
    <x:row r="13" ht="40" customHeight="1">
      <x:c r="A13" s="16" t="str">
        <x:v>Удар</x:v>
      </x:c>
      <x:c r="B13" s="16" t="str">
        <x:v>Damage × (crit ? critMultiplier : 1) × activityDpsMultiplier</x:v>
      </x:c>
      <x:c r="C13" s="16" t="str">
        <x:v>Крит roll незалежний на кожну атаку</x:v>
      </x:c>
    </x:row>
    <x:row r="14" ht="40" customHeight="1">
      <x:c r="A14" s="15" t="str">
        <x:v>XP на L→L+1</x:v>
      </x:c>
      <x:c r="B14" s="15" t="str">
        <x:v>45 × 1.12^(L−1)</x:v>
      </x:c>
      <x:c r="C14" s="15" t="str">
        <x:v>XP залишок переноситься; можна отримати багато рівнів за reward</x:v>
      </x:c>
    </x:row>
    <x:row r="15" ht="40" customHeight="1">
      <x:c r="A15" s="16" t="str">
        <x:v>Сумарний XP до L</x:v>
      </x:c>
      <x:c r="B15" s="16" t="str">
        <x:v>45 × (1.12^(L−1)−1) / 0.12</x:v>
      </x:c>
      <x:c r="C15" s="16" t="str">
        <x:v>Без поточного XP залишку</x:v>
      </x:c>
    </x:row>
    <x:row r="16" ht="40" customHeight="1">
      <x:c r="A16" s="15" t="str">
        <x:v>Ціна n→n+1</x:v>
      </x:c>
      <x:c r="B16" s="15" t="str">
        <x:v>baseCost × costGrowth^n</x:v>
      </x:c>
      <x:c r="C16" s="15" t="str">
        <x:v>Перша покупка n=0</x:v>
      </x:c>
    </x:row>
    <x:row r="17" ht="40" customHeight="1">
      <x:c r="A17" s="16" t="str">
        <x:v>Пакет k рівнів</x:v>
      </x:c>
      <x:c r="B17" s="16" t="str">
        <x:v>baseCost × costGrowth^n × (costGrowth^k−1)/(costGrowth−1)</x:v>
      </x:c>
      <x:c r="C17" s="16" t="str">
        <x:v>x10 не має знижки</x:v>
      </x:c>
    </x:row>
    <x:row r="18" ht="40" customHeight="1">
      <x:c r="A18" s="15" t="str">
        <x:v>MAX</x:v>
      </x:c>
      <x:c r="B18" s="15" t="str">
        <x:v>floor(ln(1 + wallet×(g−1)/(baseCost×g^n)) / ln(g))</x:v>
      </x:c>
      <x:c r="C18" s="15" t="str">
        <x:v>У коді поправка на точність log10 та ліміт int</x:v>
      </x:c>
    </x:row>
    <x:row r="19" ht="40" customHeight="1">
      <x:c r="A19" s="16" t="str">
        <x:v>Power exponential</x:v>
      </x:c>
      <x:c r="B19" s="16" t="str">
        <x:v>valueGrowth^n; valueGrowth = 1.05</x:v>
      </x:c>
      <x:c r="C19" s="16" t="str">
        <x:v>Поточні HP і Damage</x:v>
      </x:c>
    </x:row>
    <x:row r="20" ht="40" customHeight="1">
      <x:c r="A20" s="15" t="str">
        <x:v>Power additive</x:v>
      </x:c>
      <x:c r="B20" s="15" t="str">
        <x:v>bonusPerLevel × n</x:v>
      </x:c>
      <x:c r="C20" s="15" t="str">
        <x:v>Поточні crit chance та crit damage</x:v>
      </x:c>
    </x:row>
    <x:row r="21" ht="40" customHeight="1">
      <x:c r="A21" s="16" t="str">
        <x:v>Power softCap</x:v>
      </x:c>
      <x:c r="B21" s="16" t="str">
        <x:v>remainingCapFraction = exp(−0.035 × n)</x:v>
      </x:c>
      <x:c r="C21" s="16" t="str">
        <x:v>У поточних 8 покупках softCap не використовується</x:v>
      </x:c>
    </x:row>
    <x:row r="22" ht="40" customHeight="1">
      <x:c r="A22" s="15" t="str">
        <x:v>Enemy HP</x:v>
      </x:c>
      <x:c r="B22" s="15" t="str">
        <x:v>baseHP × 1.08^(s−1) × (boss ? 1.10 : 1)</x:v>
      </x:c>
      <x:c r="C22" s="15" t="str">
        <x:v>s = етап, не character level</x:v>
      </x:c>
    </x:row>
    <x:row r="23" ht="40" customHeight="1">
      <x:c r="A23" s="16" t="str">
        <x:v>Enemy Damage</x:v>
      </x:c>
      <x:c r="B23" s="16" t="str">
        <x:v>baseDamage × 1.065^(s−1) × (boss ? 1.10 : 1)</x:v>
      </x:c>
      <x:c r="C23" s="16" t="str">
        <x:v>Attack speed і crit не масштабуються</x:v>
      </x:c>
    </x:row>
    <x:row r="24" ht="40" customHeight="1">
      <x:c r="A24" s="15" t="str">
        <x:v>Gold / kill</x:v>
      </x:c>
      <x:c r="B24" s="15" t="str">
        <x:v>baseGold × 1.10^(s−1) × rewardMultiplier</x:v>
      </x:c>
      <x:c r="C24" s="15" t="str">
        <x:v>Гарантовано; бос без бонусу</x:v>
      </x:c>
    </x:row>
    <x:row r="25" ht="40" customHeight="1">
      <x:c r="A25" s="16" t="str">
        <x:v>Books при drop</x:v>
      </x:c>
      <x:c r="B25" s="16" t="str">
        <x:v>baseBooks × 1.10^(s−1) × rewardMultiplier</x:v>
      </x:c>
      <x:c r="C25" s="16" t="str">
        <x:v>Шанс 28%; дробові rewards зберігаються</x:v>
      </x:c>
    </x:row>
    <x:row r="26" ht="40" customHeight="1">
      <x:c r="A26" s="15" t="str">
        <x:v>Очікувані Books / kill</x:v>
      </x:c>
      <x:c r="B26" s="15" t="str">
        <x:v>0.28 × baseBooks × 1.10^(s−1) × rewardMultiplier</x:v>
      </x:c>
      <x:c r="C26" s="15" t="str">
        <x:v>Це очікування; конкретний drop випадковий</x:v>
      </x:c>
    </x:row>
    <x:row r="27" ht="40" customHeight="1">
      <x:c r="A27" s="16" t="str">
        <x:v>XP / kill</x:v>
      </x:c>
      <x:c r="B27" s="16" t="str">
        <x:v>baseXP × 1.07^(s−1)</x:v>
      </x:c>
      <x:c r="C27" s="16" t="str">
        <x:v>Не множиться на activity multiplier чи boss</x:v>
      </x:c>
    </x:row>
    <x:row r="28" ht="40" customHeight="1">
      <x:c r="A28" s="15" t="str">
        <x:v>Enemy selection</x:v>
      </x:c>
      <x:c r="B28" s="15" t="str">
        <x:v>weight / sum(eligible weights)</x:v>
      </x:c>
      <x:c r="C28" s="15" t="str">
        <x:v>Зараз тільки Goblin: 100%</x:v>
      </x:c>
    </x:row>
    <x:row r="31" ht="25" customHeight="1">
      <x:c r="A31" s="7" t="str">
        <x:v>Базові характеристики</x:v>
      </x:c>
      <x:c r="B31" s="7"/>
      <x:c r="C31" s="7"/>
    </x:row>
    <x:row r="33" ht="42" customHeight="1">
      <x:c r="A33" s="13" t="str">
        <x:v>Параметр</x:v>
      </x:c>
      <x:c r="B33" s="13" t="str">
        <x:v>Значення</x:v>
      </x:c>
      <x:c r="C33" s="13" t="str">
        <x:v>Правило</x:v>
      </x:c>
    </x:row>
    <x:row r="34" ht="40" customHeight="1">
      <x:c r="A34" s="15" t="str">
        <x:v>Рівень</x:v>
      </x:c>
      <x:c r="B34" s="15" t="n">
        <x:v>1</x:v>
      </x:c>
      <x:c r="C34" s="15" t="str">
        <x:v>XP = 0; усі покупки = 0; Gold = Books = 0</x:v>
      </x:c>
    </x:row>
    <x:row r="35" ht="40" customHeight="1">
      <x:c r="A35" s="16" t="str">
        <x:v>Max HP</x:v>
      </x:c>
      <x:c r="B35" s="16" t="n">
        <x:v>120</x:v>
      </x:c>
      <x:c r="C35" s="16" t="str">
        <x:v>HP зберігається між зустрічами</x:v>
      </x:c>
    </x:row>
    <x:row r="36" ht="40" customHeight="1">
      <x:c r="A36" s="15" t="str">
        <x:v>Damage</x:v>
      </x:c>
      <x:c r="B36" s="15" t="n">
        <x:v>14</x:v>
      </x:c>
      <x:c r="C36" s="15" t="str">
        <x:v>Звичайний удар</x:v>
      </x:c>
    </x:row>
    <x:row r="37" ht="40" customHeight="1">
      <x:c r="A37" s="16" t="str">
        <x:v>Швидкість атак</x:v>
      </x:c>
      <x:c r="B37" s="16" t="n">
        <x:v>1</x:v>
      </x:c>
      <x:c r="C37" s="16" t="str">
        <x:v>Постійна; 1 атака/с</x:v>
      </x:c>
    </x:row>
    <x:row r="38" ht="40" customHeight="1">
      <x:c r="A38" s="15" t="str">
        <x:v>Crit chance</x:v>
      </x:c>
      <x:c r="B38" s="15" t="n">
        <x:v>0.05</x:v>
      </x:c>
      <x:c r="C38" s="15" t="str">
        <x:v>5%; адитивна прокачка, cap 80%</x:v>
      </x:c>
    </x:row>
    <x:row r="39" ht="40" customHeight="1">
      <x:c r="A39" s="16" t="str">
        <x:v>Crit damage</x:v>
      </x:c>
      <x:c r="B39" s="16" t="n">
        <x:v>1.5</x:v>
      </x:c>
      <x:c r="C39" s="16" t="str">
        <x:v>Повний множник критичного удару</x:v>
      </x:c>
    </x:row>
    <x:row r="40" ht="40" customHeight="1">
      <x:c r="A40" s="15" t="str">
        <x:v>Очікуваний DPS</x:v>
      </x:c>
      <x:c r="B40" s="15" t="n">
        <x:v>14.35</x:v>
      </x:c>
      <x:c r="C40" s="15" t="str">
        <x:v>14 × 1 × (1 + 0.05 × (1.5 − 1))</x:v>
      </x:c>
    </x:row>
    <x:row r="41" ht="40" customHeight="1">
      <x:c r="A41" s="16" t="str">
        <x:v>Броня / dodge / lifesteal / пасивний regen</x:v>
      </x:c>
      <x:c r="B41" s="16" t="str">
        <x:v>Не реалізовано</x:v>
      </x:c>
      <x:c r="C41" s="16" t="str">
        <x:v>Armor підвищує HP; захист окремо не рахується</x:v>
      </x:c>
    </x:row>
    <x:row r="42" ht="40" customHeight="1">
      <x:c r="A42" s="15" t="str">
        <x:v>Престиж / квести / офлайн-нагороди</x:v>
      </x:c>
      <x:c r="B42" s="15" t="str">
        <x:v>Не реалізовано</x:v>
      </x:c>
      <x:c r="C42" s="15" t="str">
        <x:v>Reward приходить тільки з running simulation</x:v>
      </x:c>
    </x:row>
    <x:row r="45" ht="25" customHeight="1">
      <x:c r="A45" s="7" t="str">
        <x:v>Етап і смерть</x:v>
      </x:c>
      <x:c r="B45" s="7"/>
    </x:row>
    <x:row r="47" ht="42" customHeight="1">
      <x:c r="A47" s="13" t="str">
        <x:v>Параметр</x:v>
      </x:c>
      <x:c r="B47" s="13" t="str">
        <x:v>Значення / правило</x:v>
      </x:c>
    </x:row>
    <x:row r="48" ht="40" customHeight="1">
      <x:c r="A48" s="15" t="str">
        <x:v>Старт</x:v>
      </x:c>
      <x:c r="B48" s="15" t="str">
        <x:v>Stage 1; stageKills 0; Wave 1</x:v>
      </x:c>
    </x:row>
    <x:row r="49" ht="40" customHeight="1">
      <x:c r="A49" s="16" t="str">
        <x:v>Етап</x:v>
      </x:c>
      <x:c r="B49" s="16" t="str">
        <x:v>5 перемог: 4 звичайні + 1 бос</x:v>
      </x:c>
    </x:row>
    <x:row r="50" ht="40" customHeight="1">
      <x:c r="A50" s="15" t="str">
        <x:v>Бос</x:v>
      </x:c>
      <x:c r="B50" s="15" t="str">
        <x:v>Той самий Goblin; HP ×1.10, damage ×1.10</x:v>
      </x:c>
    </x:row>
    <x:row r="51" ht="40" customHeight="1">
      <x:c r="A51" s="16" t="str">
        <x:v>Бонус нагород за боса</x:v>
      </x:c>
      <x:c r="B51" s="16" t="str">
        <x:v>0; Gold, Books, XP як у звичайного ворога того самого stage</x:v>
      </x:c>
    </x:row>
    <x:row r="52" ht="40" customHeight="1">
      <x:c r="A52" s="15" t="str">
        <x:v>Перехід</x:v>
      </x:c>
      <x:c r="B52" s="15" t="str">
        <x:v>Після п’ятої перемоги stage +1, stageKills = 0</x:v>
      </x:c>
    </x:row>
    <x:row r="53" ht="40" customHeight="1">
      <x:c r="A53" s="16" t="str">
        <x:v>Смерть</x:v>
      </x:c>
      <x:c r="B53" s="16" t="str">
        <x:v>stage = max(1, stage−1), stageKills = 0</x:v>
      </x:c>
    </x:row>
    <x:row r="54" ht="40" customHeight="1">
      <x:c r="A54" s="15" t="str">
        <x:v>Зберігається після смерті</x:v>
      </x:c>
      <x:c r="B54" s="15" t="str">
        <x:v>XP, level, currencies, purchases, lifetime kills</x:v>
      </x:c>
    </x:row>
    <x:row r="55" ht="40" customHeight="1">
      <x:c r="A55" s="16" t="str">
        <x:v>Втрачається</x:v>
      </x:c>
      <x:c r="B55" s="16" t="str">
        <x:v>Прогрес хвиль поточного stage; reward за програний бій не приходить</x:v>
      </x:c>
    </x:row>
    <x:row r="56" ht="40" customHeight="1">
      <x:c r="A56" s="15" t="str">
        <x:v>Повторний фарм</x:v>
      </x:c>
      <x:c r="B56" s="15" t="str">
        <x:v>Кожна повторна перемога знову дає повну reward</x:v>
      </x:c>
    </x:row>
    <x:row r="57" ht="40" customHeight="1">
      <x:c r="A57" s="16" t="str">
        <x:v>Середнє за етап s</x:v>
      </x:c>
      <x:c r="B57" s="16" t="str">
        <x:v>60 × 1.10^(s−1) Gold; 1.4 × 1.10^(s−1) Books; 90 × 1.07^(s−1) XP</x:v>
      </x:c>
    </x:row>
    <x:row r="58" ht="40" customHeight="1">
      <x:c r="A58" s="15" t="str">
        <x:v>Ймовірність 0 Books за 5 kills</x:v>
      </x:c>
      <x:c r="B58" s="15" t="str">
        <x:v>.72^5 = 19.349%; хоча б один book drop = 80.651%</x:v>
      </x:c>
    </x:row>
    <x:row r="61" ht="25" customHeight="1">
      <x:c r="A61" s="7" t="str">
        <x:v>Час циклу</x:v>
      </x:c>
      <x:c r="B61" s="7"/>
      <x:c r="C61" s="7"/>
    </x:row>
    <x:row r="63" ht="42" customHeight="1">
      <x:c r="A63" s="13" t="str">
        <x:v>Параметр</x:v>
      </x:c>
      <x:c r="B63" s="13" t="str">
        <x:v>Значення</x:v>
      </x:c>
      <x:c r="C63" s="13" t="str">
        <x:v>Роль</x:v>
      </x:c>
    </x:row>
    <x:row r="64" ht="40" customHeight="1">
      <x:c r="A64" s="15" t="str">
        <x:v>movementSpeed</x:v>
      </x:c>
      <x:c r="B64" s="15" t="n">
        <x:v>32</x:v>
      </x:c>
      <x:c r="C64" s="15" t="str">
        <x:v>Одиниць шляху за секунду</x:v>
      </x:c>
    </x:row>
    <x:row r="65" ht="40" customHeight="1">
      <x:c r="A65" s="16" t="str">
        <x:v>encounterMinDistance</x:v>
      </x:c>
      <x:c r="B65" s="16" t="n">
        <x:v>90</x:v>
      </x:c>
      <x:c r="C65" s="16" t="str">
        <x:v>Після reward/respawn випадкова дистанція до спавну</x:v>
      </x:c>
    </x:row>
    <x:row r="66" ht="40" customHeight="1">
      <x:c r="A66" s="15" t="str">
        <x:v>encounterMaxDistance</x:v>
      </x:c>
      <x:c r="B66" s="15" t="n">
        <x:v>160</x:v>
      </x:c>
      <x:c r="C66" s="15" t="str">
        <x:v>Uniform range [90,160)</x:v>
      </x:c>
    </x:row>
    <x:row r="67" ht="40" customHeight="1">
      <x:c r="A67" s="16" t="str">
        <x:v>Середній шлях до спавну</x:v>
      </x:c>
      <x:c r="B67" s="16" t="n">
        <x:v>125</x:v>
      </x:c>
      <x:c r="C67" s="16" t="str">
        <x:v>3.90625 с при швидкості 32</x:v>
      </x:c>
    </x:row>
    <x:row r="68" ht="40" customHeight="1">
      <x:c r="A68" s="15" t="str">
        <x:v>enemyApproachDistance</x:v>
      </x:c>
      <x:c r="B68" s="15" t="n">
        <x:v>132</x:v>
      </x:c>
      <x:c r="C68" s="15" t="str">
        <x:v>386 − 254; однакова для всіх ворогів</x:v>
      </x:c>
    </x:row>
    <x:row r="69" ht="40" customHeight="1">
      <x:c r="A69" s="16" t="str">
        <x:v>approachDuration</x:v>
      </x:c>
      <x:c r="B69" s="16" t="n">
        <x:v>4.125</x:v>
      </x:c>
      <x:c r="C69" s="16" t="str">
        <x:v>132 / 32</x:v>
      </x:c>
    </x:row>
    <x:row r="70" ht="40" customHeight="1">
      <x:c r="A70" s="15" t="str">
        <x:v>Travel + approach min</x:v>
      </x:c>
      <x:c r="B70" s="15" t="n">
        <x:v>6.9375</x:v>
      </x:c>
      <x:c r="C70" s="15" t="str">
        <x:v>До початку бою</x:v>
      </x:c>
    </x:row>
    <x:row r="71" ht="40" customHeight="1">
      <x:c r="A71" s="16" t="str">
        <x:v>Travel + approach середній</x:v>
      </x:c>
      <x:c r="B71" s="16" t="n">
        <x:v>8.03125</x:v>
      </x:c>
      <x:c r="C71" s="16" t="str">
        <x:v>До початку бою</x:v>
      </x:c>
    </x:row>
    <x:row r="72" ht="40" customHeight="1">
      <x:c r="A72" s="15" t="str">
        <x:v>Travel + approach max</x:v>
      </x:c>
      <x:c r="B72" s="15" t="n">
        <x:v>9.125</x:v>
      </x:c>
      <x:c r="C72" s="15" t="str">
        <x:v>До початку бою</x:v>
      </x:c>
    </x:row>
    <x:row r="73" ht="40" customHeight="1">
      <x:c r="A73" s="16" t="str">
        <x:v>attackDuration</x:v>
      </x:c>
      <x:c r="B73" s="16" t="n">
        <x:v>0.6</x:v>
      </x:c>
      <x:c r="C73" s="16" t="str">
        <x:v>Кліп удару; частоту задає attackSpeed</x:v>
      </x:c>
    </x:row>
    <x:row r="74" ht="40" customHeight="1">
      <x:c r="A74" s="15" t="str">
        <x:v>damageTiming</x:v>
      </x:c>
      <x:c r="B74" s="15" t="n">
        <x:v>0.35</x:v>
      </x:c>
      <x:c r="C74" s="15" t="str">
        <x:v>Перший hit обох сторін на 0.35 с</x:v>
      </x:c>
    </x:row>
    <x:row r="75" ht="40" customHeight="1">
      <x:c r="A75" s="16" t="str">
        <x:v>Hero attack period</x:v>
      </x:c>
      <x:c r="B75" s="16" t="n">
        <x:v>1</x:v>
      </x:c>
      <x:c r="C75" s="16" t="str">
        <x:v>Наступні hero hits: 1.35, 2.35, ...</x:v>
      </x:c>
    </x:row>
    <x:row r="76" ht="40" customHeight="1">
      <x:c r="A76" s="15" t="str">
        <x:v>Goblin attack period</x:v>
      </x:c>
      <x:c r="B76" s="15" t="n">
        <x:v>1.3333333333333333</x:v>
      </x:c>
      <x:c r="C76" s="15" t="str">
        <x:v>Наступні enemy hits: 1.6833, 3.0167, ...</x:v>
      </x:c>
    </x:row>
    <x:row r="77" ht="40" customHeight="1">
      <x:c r="A77" s="16" t="str">
        <x:v>Enemy death</x:v>
      </x:c>
      <x:c r="B77" s="16" t="n">
        <x:v>0.8</x:v>
      </x:c>
      <x:c r="C77" s="16" t="str">
        <x:v>Нагорода після завершення death animation</x:v>
      </x:c>
    </x:row>
    <x:row r="78" ht="40" customHeight="1">
      <x:c r="A78" s="15" t="str">
        <x:v>Reward hold</x:v>
      </x:c>
      <x:c r="B78" s="15" t="n">
        <x:v>0.9</x:v>
      </x:c>
      <x:c r="C78" s="15" t="str">
        <x:v>Пауза перед наступною мандрівкою</x:v>
      </x:c>
    </x:row>
    <x:row r="79" ht="40" customHeight="1">
      <x:c r="A79" s="16" t="str">
        <x:v>Hero death</x:v>
      </x:c>
      <x:c r="B79" s="16" t="n">
        <x:v>1.6</x:v>
      </x:c>
      <x:c r="C79" s="16" t="str">
        <x:v>4 кадри ×0.4 с</x:v>
      </x:c>
    </x:row>
    <x:row r="80" ht="40" customHeight="1">
      <x:c r="A80" s="15" t="str">
        <x:v>Respawn hold</x:v>
      </x:c>
      <x:c r="B80" s="15" t="n">
        <x:v>0.6</x:v>
      </x:c>
      <x:c r="C80" s="15" t="str">
        <x:v>1.0 −0.4 с; death + respawn = 2.2 с</x:v>
      </x:c>
    </x:row>
    <x:row r="81" ht="40" customHeight="1">
      <x:c r="A81" s="16" t="str">
        <x:v>hitDuration</x:v>
      </x:c>
      <x:c r="B81" s="16" t="n">
        <x:v>0.18</x:v>
      </x:c>
      <x:c r="C81" s="16" t="str">
        <x:v>Візуальний hit overlay; cadence не зупиняється</x:v>
      </x:c>
    </x:row>
    <x:row r="82" ht="40" customHeight="1">
      <x:c r="A82" s="15" t="str">
        <x:v>fixedStep</x:v>
      </x:c>
      <x:c r="B82" s="15" t="n">
        <x:v>0.016666666666666666</x:v>
      </x:c>
      <x:c r="C82" s="15" t="str">
        <x:v>Логіка 60 ticks/с, незалежно від render FPS</x:v>
      </x:c>
    </x:row>
    <x:row r="83" ht="40" customHeight="1">
      <x:c r="A83" s="16" t="str">
        <x:v>maxCatchupSeconds</x:v>
      </x:c>
      <x:c r="B83" s="16" t="n">
        <x:v>5</x:v>
      </x:c>
      <x:c r="C83" s="16" t="str">
        <x:v>Gap &gt;5 с повністю пропускається</x:v>
      </x:c>
    </x:row>
    <x:row r="84" ht="40" customHeight="1">
      <x:c r="A84" s="15" t="str">
        <x:v>saveInterval seconds</x:v>
      </x:c>
      <x:c r="B84" s="15" t="n">
        <x:v>60</x:v>
      </x:c>
      <x:c r="C84" s="15" t="str">
        <x:v>Збереження; не reward timer</x:v>
      </x:c>
    </x:row>
    <x:row r="85" ht="40" customHeight="1">
      <x:c r="A85" s="16" t="str">
        <x:v>activityPollInterval seconds</x:v>
      </x:c>
      <x:c r="B85" s="16" t="n">
        <x:v>1</x:v>
      </x:c>
      <x:c r="C85" s="16" t="str">
        <x:v>Затримка виявлення global input</x:v>
      </x:c>
    </x:row>
    <x:row r="86" ht="40" customHeight="1">
      <x:c r="A86" s="15" t="str">
        <x:v>Debug speed</x:v>
      </x:c>
      <x:c r="B86" s="15" t="str">
        <x:v>×1 / ×5 / ×20</x:v>
      </x:c>
      <x:c r="C86" s="15" t="str">
        <x:v>Прогноз використовує тільки ×1</x:v>
      </x:c>
    </x:row>
    <x:row r="89" ht="25" customHeight="1">
      <x:c r="A89" s="7" t="str">
        <x:v>Поточний rest та резервні demo variants</x:v>
      </x:c>
      <x:c r="B89" s="7"/>
      <x:c r="C89" s="7"/>
    </x:row>
    <x:row r="91" ht="42" customHeight="1">
      <x:c r="A91" s="13" t="str">
        <x:v>Елемент</x:v>
      </x:c>
      <x:c r="B91" s="13" t="str">
        <x:v>Час / вага / умова</x:v>
      </x:c>
      <x:c r="C91" s="13" t="str">
        <x:v>Вплив</x:v>
      </x:c>
    </x:row>
    <x:row r="92" ht="40" customHeight="1">
      <x:c r="A92" s="15" t="str">
        <x:v>Сідання</x:v>
      </x:c>
      <x:c r="B92" s="15" t="str">
        <x:v>1.2 с + hold 0.5 с</x:v>
      </x:c>
      <x:c r="C92" s="15" t="str">
        <x:v>Ранній ввід не перериває сідання</x:v>
      </x:c>
    </x:row>
    <x:row r="93" ht="40" customHeight="1">
      <x:c r="A93" s="16" t="str">
        <x:v>Заточування</x:v>
      </x:c>
      <x:c r="B93" s="16" t="str">
        <x:v>9 кадрів ×0.225 с; далі loop кадрів 1–8 =1.8 с; weight 1</x:v>
      </x:c>
      <x:c r="C93" s="16" t="str">
        <x:v>Єдина active rest activity; не дає damage buff</x:v>
      </x:c>
    </x:row>
    <x:row r="94" ht="40" customHeight="1">
      <x:c r="A94" s="15" t="str">
        <x:v>Вихід</x:v>
      </x:c>
      <x:c r="B94" s="15" t="str">
        <x:v>hold 0.3 с + standUp 6×0.25 с =1.8 с</x:v>
      </x:c>
      <x:c r="C94" s="15" t="str">
        <x:v>Блокує travel до readyToTravel</x:v>
      </x:c>
    </x:row>
    <x:row r="95" ht="40" customHeight="1">
      <x:c r="A95" s="16" t="str">
        <x:v>Normal standUp</x:v>
      </x:c>
      <x:c r="B95" s="16" t="str">
        <x:v>weight 1; cooldown немає</x:v>
      </x:c>
      <x:c r="C95" s="16" t="str">
        <x:v>Єдиний production варіант</x:v>
      </x:c>
    </x:row>
    <x:row r="96" ht="40" customHeight="1">
      <x:c r="A96" s="15" t="str">
        <x:v>Demo slowSharpen</x:v>
      </x:c>
      <x:c r="B96" s="15" t="str">
        <x:v>weight 2; idle level ≥2; cooldown 12 с після завершення; afterCycle</x:v>
      </x:c>
      <x:c r="C96" s="15" t="str">
        <x:v>Не підключено в production graph</x:v>
      </x:c>
    </x:row>
    <x:row r="97" ht="40" customHeight="1">
      <x:c r="A97" s="16" t="str">
        <x:v>Demo cleanup</x:v>
      </x:c>
      <x:c r="B97" s="16" t="str">
        <x:v>4×0.15 с =0.6 с</x:v>
      </x:c>
      <x:c r="C97" s="16" t="str">
        <x:v>Лише demo slowSharpen</x:v>
      </x:c>
    </x:row>
    <x:row r="98" ht="40" customHeight="1">
      <x:c r="A98" s="15" t="str">
        <x:v>Demo careful standUp</x:v>
      </x:c>
      <x:c r="B98" s="15" t="str">
        <x:v>6×0.35 с =2.1 с; weight 1; cooldown 8 с</x:v>
      </x:c>
      <x:c r="C98" s="15" t="str">
        <x:v>Не підключено в production graph</x:v>
      </x:c>
    </x:row>
    <x:row r="101" ht="25" customHeight="1">
      <x:c r="A101" s="7" t="str">
        <x:v>Умови симуляції</x:v>
      </x:c>
      <x:c r="B101" s="7"/>
    </x:row>
    <x:row r="103" ht="42" customHeight="1">
      <x:c r="A103" s="13" t="str">
        <x:v>Умова</x:v>
      </x:c>
      <x:c r="B103" s="13" t="str">
        <x:v>Значення</x:v>
      </x:c>
    </x:row>
    <x:row r="104" ht="40" customHeight="1">
      <x:c r="A104" s="15" t="str">
        <x:v>Старт</x:v>
      </x:c>
      <x:c r="B104" s="15" t="str">
        <x:v>Нова гра, level1/stage1/0 currencies/0 purchases</x:v>
      </x:c>
    </x:row>
    <x:row r="105" ht="40" customHeight="1">
      <x:c r="A105" s="16" t="str">
        <x:v>Тривалість</x:v>
      </x:c>
      <x:c r="B105" s="16" t="str">
        <x:v>1, 2, 7, 30 днів ×8 годин; 16 годин/день прогрес не нараховується</x:v>
      </x:c>
    </x:row>
    <x:row r="106" ht="40" customHeight="1">
      <x:c r="A106" s="15" t="str">
        <x:v>Random</x:v>
      </x:c>
      <x:c r="B106" s="15" t="str">
        <x:v>20 seed: 1..20; combat crit, book drop, travel distance</x:v>
      </x:c>
    </x:row>
    <x:row r="107" ht="40" customHeight="1">
      <x:c r="A107" s="16" t="str">
        <x:v>Покупки</x:v>
      </x:c>
      <x:c r="B107" s="16" t="str">
        <x:v>Приблизно раз на активну годину після завершення encounter</x:v>
      </x:c>
    </x:row>
    <x:row r="108" ht="40" customHeight="1">
      <x:c r="A108" s="15" t="str">
        <x:v>Damage бюджет</x:v>
      </x:c>
      <x:c r="B108" s="15" t="str">
        <x:v>37.5% кожної валюти</x:v>
      </x:c>
    </x:row>
    <x:row r="109" ht="40" customHeight="1">
      <x:c r="A109" s="16" t="str">
        <x:v>HP бюджет</x:v>
      </x:c>
      <x:c r="B109" s="16" t="str">
        <x:v>37.5% кожної валюти</x:v>
      </x:c>
    </x:row>
    <x:row r="110" ht="40" customHeight="1">
      <x:c r="A110" s="15" t="str">
        <x:v>Crit chance бюджет</x:v>
      </x:c>
      <x:c r="B110" s="15" t="str">
        <x:v>15% кожної валюти; купівлі продовжуються після cap</x:v>
      </x:c>
    </x:row>
    <x:row r="111" ht="40" customHeight="1">
      <x:c r="A111" s="16" t="str">
        <x:v>Crit damage бюджет</x:v>
      </x:c>
      <x:c r="B111" s="16" t="str">
        <x:v>10% кожної валюти</x:v>
      </x:c>
    </x:row>
    <x:row r="112" ht="40" customHeight="1">
      <x:c r="A112" s="15" t="str">
        <x:v>Бюджетування</x:v>
      </x:c>
      <x:c r="B112" s="15" t="str">
        <x:v>На початку shopping round зафіксований wallet; частка для кожної stat; купується MAX у частці; решта лишається</x:v>
      </x:c>
    </x:row>
    <x:row r="113" ht="40" customHeight="1">
      <x:c r="A113" s="16" t="str">
        <x:v>Остання хвилина</x:v>
      </x:c>
      <x:c r="B113" s="16" t="str">
        <x:v>Без фінальної примусової закупки в checkpoint</x:v>
      </x:c>
    </x:row>
    <x:row r="114" ht="40" customHeight="1">
      <x:c r="A114" s="15" t="str">
        <x:v>Сценарій без покупок</x:v>
      </x:c>
      <x:c r="B114" s="15" t="str">
        <x:v>Немає покупок; XP/level-ups/rewards продовжуються</x:v>
      </x:c>
    </x:row>
    <x:row r="115" ht="40" customHeight="1">
      <x:c r="A115" s="16" t="str">
        <x:v>Checkpoints</x:v>
      </x:c>
      <x:c r="B115" s="16" t="str">
        <x:v>Кожен checkpoint відтворений від нуля; перерваний бій не змінює наступний checkpoint</x:v>
      </x:c>
    </x:row>
    <x:row r="116" ht="40" customHeight="1">
      <x:c r="A116" s="15" t="str">
        <x:v>Дані</x:v>
      </x:c>
      <x:c r="B116" s="15" t="str">
        <x:v>160 фінальних прогонів +160 контрольних прогонів до початку останньої години</x:v>
      </x:c>
    </x:row>
    <x:row r="117" ht="40" customHeight="1">
      <x:c r="A117" s="16" t="str">
        <x:v>Результати</x:v>
      </x:c>
      <x:c r="B117" s="16" t="str">
        <x:v>Медіана та min–max; медіана цілого лічильника може бути .5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8" customHeight="1">
      <x:c r="A2" s="3" t="str">
        <x:v>Вороги, ціни та масштабування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5" t="str">
        <x:v>Приклади перераховуються з Коефіцієнтів. Gold/Books босу не множаться.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5" customHeight="1">
      <x:c r="A5" s="7" t="str">
        <x:v>Goblin за етапами</x:v>
      </x:c>
      <x:c r="B5" s="7"/>
      <x:c r="C5" s="7"/>
      <x:c r="D5" s="7"/>
      <x:c r="E5" s="7"/>
      <x:c r="F5" s="7"/>
      <x:c r="G5" s="7"/>
      <x:c r="H5" s="7"/>
      <x:c r="I5" s="7"/>
    </x:row>
    <x:row r="7" ht="42" customHeight="1">
      <x:c r="A7" s="13" t="str">
        <x:v>Stage</x:v>
      </x:c>
      <x:c r="B7" s="13" t="str">
        <x:v>HP</x:v>
      </x:c>
      <x:c r="C7" s="13" t="str">
        <x:v>Damage</x:v>
      </x:c>
      <x:c r="D7" s="13" t="str">
        <x:v>Gold/kill</x:v>
      </x:c>
      <x:c r="E7" s="13" t="str">
        <x:v>Books/drop</x:v>
      </x:c>
      <x:c r="F7" s="13" t="str">
        <x:v>E Books/kill</x:v>
      </x:c>
      <x:c r="G7" s="13" t="str">
        <x:v>XP/kill</x:v>
      </x:c>
      <x:c r="H7" s="13" t="str">
        <x:v>Boss HP</x:v>
      </x:c>
      <x:c r="I7" s="13" t="str">
        <x:v>Boss Damage</x:v>
      </x:c>
    </x:row>
    <x:row r="8" ht="26" customHeight="1">
      <x:c r="A8" s="18" t="n">
        <x:v>1</x:v>
      </x:c>
      <x:c r="B8" s="22" t="n">
        <x:f>'Коефіцієнти'!$B$45*'Коефіцієнти'!$B$13^(A8-1)</x:f>
        <x:v>48</x:v>
      </x:c>
      <x:c r="C8" s="22" t="n">
        <x:f>'Коефіцієнти'!$B$46*'Коефіцієнти'!$B$14^(A8-1)</x:f>
        <x:v>6</x:v>
      </x:c>
      <x:c r="D8" s="22" t="n">
        <x:f>'Коефіцієнти'!$B$48*'Коефіцієнти'!$B$20^(A8-1)</x:f>
        <x:v>12</x:v>
      </x:c>
      <x:c r="E8" s="22" t="n">
        <x:f>'Коефіцієнти'!$B$24*'Коефіцієнти'!$B$21^(A8-1)</x:f>
        <x:v>1</x:v>
      </x:c>
      <x:c r="F8" s="22" t="n">
        <x:f>E8*'Коефіцієнти'!$B$23</x:f>
        <x:v>0.28</x:v>
      </x:c>
      <x:c r="G8" s="22" t="n">
        <x:f>'Коефіцієнти'!$B$49*'Коефіцієнти'!$B$22^(A8-1)</x:f>
        <x:v>18</x:v>
      </x:c>
      <x:c r="H8" s="22" t="n">
        <x:f>B8*'Коефіцієнти'!$B$16</x:f>
        <x:v>52.800000000000004</x:v>
      </x:c>
      <x:c r="I8" s="22" t="n">
        <x:f>C8*'Коефіцієнти'!$B$16</x:f>
        <x:v>6.6000000000000005</x:v>
      </x:c>
    </x:row>
    <x:row r="9" ht="26" customHeight="1">
      <x:c r="A9" s="19" t="n">
        <x:v>10</x:v>
      </x:c>
      <x:c r="B9" s="23" t="n">
        <x:f>'Коефіцієнти'!$B$45*'Коефіцієнти'!$B$13^(A9-1)</x:f>
        <x:v>95.9522221010128</x:v>
      </x:c>
      <x:c r="C9" s="23" t="n">
        <x:f>'Коефіцієнти'!$B$46*'Коефіцієнти'!$B$14^(A9-1)</x:f>
        <x:v>10.575422339545685</x:v>
      </x:c>
      <x:c r="D9" s="23" t="n">
        <x:f>'Коефіцієнти'!$B$48*'Коефіцієнти'!$B$20^(A9-1)</x:f>
        <x:v>28.295372292000025</x:v>
      </x:c>
      <x:c r="E9" s="23" t="n">
        <x:f>'Коефіцієнти'!$B$24*'Коефіцієнти'!$B$21^(A9-1)</x:f>
        <x:v>2.357947691000002</x:v>
      </x:c>
      <x:c r="F9" s="23" t="n">
        <x:f>E9*'Коефіцієнти'!$B$23</x:f>
        <x:v>0.6602253534800006</x:v>
      </x:c>
      <x:c r="G9" s="23" t="n">
        <x:f>'Коефіцієнти'!$B$49*'Коефіцієнти'!$B$22^(A9-1)</x:f>
        <x:v>33.0922658235628</x:v>
      </x:c>
      <x:c r="H9" s="23" t="n">
        <x:f>B9*'Коефіцієнти'!$B$16</x:f>
        <x:v>105.54744431111408</x:v>
      </x:c>
      <x:c r="I9" s="23" t="n">
        <x:f>C9*'Коефіцієнти'!$B$16</x:f>
        <x:v>11.632964573500255</x:v>
      </x:c>
    </x:row>
    <x:row r="10" ht="26" customHeight="1">
      <x:c r="A10" s="18" t="n">
        <x:v>25</x:v>
      </x:c>
      <x:c r="B10" s="22" t="n">
        <x:f>'Коефіцієнти'!$B$45*'Коефіцієнти'!$B$13^(A10-1)</x:f>
        <x:v>304.37667538752567</x:v>
      </x:c>
      <x:c r="C10" s="22" t="n">
        <x:f>'Коефіцієнти'!$B$46*'Коефіцієнти'!$B$14^(A10-1)</x:f>
        <x:v>27.19830483456981</x:v>
      </x:c>
      <x:c r="D10" s="22" t="n">
        <x:f>'Коефіцієнти'!$B$48*'Коефіцієнти'!$B$20^(A10-1)</x:f>
        <x:v>118.19679210969156</x:v>
      </x:c>
      <x:c r="E10" s="22" t="n">
        <x:f>'Коефіцієнти'!$B$24*'Коефіцієнти'!$B$21^(A10-1)</x:f>
        <x:v>9.84973267580763</x:v>
      </x:c>
      <x:c r="F10" s="22" t="n">
        <x:f>E10*'Коефіцієнти'!$B$23</x:f>
        <x:v>2.7579251492261365</x:v>
      </x:c>
      <x:c r="G10" s="22" t="n">
        <x:f>'Коефіцієнти'!$B$49*'Коефіцієнти'!$B$22^(A10-1)</x:f>
        <x:v>91.30260516094594</x:v>
      </x:c>
      <x:c r="H10" s="22" t="n">
        <x:f>B10*'Коефіцієнти'!$B$16</x:f>
        <x:v>334.81434292627824</x:v>
      </x:c>
      <x:c r="I10" s="22" t="n">
        <x:f>C10*'Коефіцієнти'!$B$16</x:f>
        <x:v>29.918135318026795</x:v>
      </x:c>
    </x:row>
    <x:row r="11" ht="26" customHeight="1">
      <x:c r="A11" s="19" t="n">
        <x:v>50</x:v>
      </x:c>
      <x:c r="B11" s="23" t="n">
        <x:f>'Коефіцієнти'!$B$45*'Коефіцієнти'!$B$13^(A11-1)</x:f>
        <x:v>2084.5161116991712</x:v>
      </x:c>
      <x:c r="C11" s="23" t="n">
        <x:f>'Коефіцієнти'!$B$46*'Коефіцієнти'!$B$14^(A11-1)</x:f>
        <x:v>131.3052319926676</x:v>
      </x:c>
      <x:c r="D11" s="23" t="n">
        <x:f>'Коефіцієнти'!$B$48*'Коефіцієнти'!$B$20^(A11-1)</x:f>
        <x:v>1280.6274859603177</x:v>
      </x:c>
      <x:c r="E11" s="23" t="n">
        <x:f>'Коефіцієнти'!$B$24*'Коефіцієнти'!$B$21^(A11-1)</x:f>
        <x:v>106.7189571633598</x:v>
      </x:c>
      <x:c r="F11" s="23" t="n">
        <x:f>E11*'Коефіцієнти'!$B$23</x:f>
        <x:v>29.88130800574075</x:v>
      </x:c>
      <x:c r="G11" s="23" t="n">
        <x:f>'Коефіцієнти'!$B$49*'Коефіцієнти'!$B$22^(A11-1)</x:f>
        <x:v>495.5387393787713</x:v>
      </x:c>
      <x:c r="H11" s="23" t="n">
        <x:f>B11*'Коефіцієнти'!$B$16</x:f>
        <x:v>2292.9677228690884</x:v>
      </x:c>
      <x:c r="I11" s="23" t="n">
        <x:f>C11*'Коефіцієнти'!$B$16</x:f>
        <x:v>144.43575519193436</x:v>
      </x:c>
    </x:row>
    <x:row r="12" ht="26" customHeight="1">
      <x:c r="A12" s="18" t="n">
        <x:v>100</x:v>
      </x:c>
      <x:c r="B12" s="22" t="n">
        <x:f>'Коефіцієнти'!$B$45*'Коефіцієнти'!$B$13^(A12-1)</x:f>
        <x:v>97767.16694850221</x:v>
      </x:c>
      <x:c r="C12" s="22" t="n">
        <x:f>'Коефіцієнти'!$B$46*'Коефіцієнти'!$B$14^(A12-1)</x:f>
        <x:v>3060.2888508850656</x:v>
      </x:c>
      <x:c r="D12" s="22" t="n">
        <x:f>'Коефіцієнти'!$B$48*'Коефіцієнти'!$B$20^(A12-1)</x:f>
        <x:v>150333.95279806232</x:v>
      </x:c>
      <x:c r="E12" s="22" t="n">
        <x:f>'Коефіцієнти'!$B$24*'Коефіцієнти'!$B$21^(A12-1)</x:f>
        <x:v>12527.829399838527</x:v>
      </x:c>
      <x:c r="F12" s="22" t="n">
        <x:f>E12*'Коефіцієнти'!$B$23</x:f>
        <x:v>3507.792231954788</x:v>
      </x:c>
      <x:c r="G12" s="22" t="n">
        <x:f>'Коефіцієнти'!$B$49*'Коефіцієнти'!$B$22^(A12-1)</x:f>
        <x:v>14597.097065603275</x:v>
      </x:c>
      <x:c r="H12" s="22" t="n">
        <x:f>B12*'Коефіцієнти'!$B$16</x:f>
        <x:v>107543.88364335244</x:v>
      </x:c>
      <x:c r="I12" s="22" t="n">
        <x:f>C12*'Коефіцієнти'!$B$16</x:f>
        <x:v>3366.3177359735723</x:v>
      </x:c>
    </x:row>
    <x:row r="13" ht="26" customHeight="1">
      <x:c r="A13" s="19" t="n">
        <x:v>217</x:v>
      </x:c>
      <x:c r="B13" s="23" t="n">
        <x:f>'Коефіцієнти'!$B$45*'Коефіцієнти'!$B$13^(A13-1)</x:f>
        <x:v>795742259.1289817</x:v>
      </x:c>
      <x:c r="C13" s="23" t="n">
        <x:f>'Коефіцієнти'!$B$46*'Коефіцієнти'!$B$14^(A13-1)</x:f>
        <x:v>4849160.174815648</x:v>
      </x:c>
      <x:c r="D13" s="23" t="n">
        <x:f>'Коефіцієнти'!$B$48*'Коефіцієнти'!$B$20^(A13-1)</x:f>
        <x:v>10471315383.630436</x:v>
      </x:c>
      <x:c r="E13" s="23" t="n">
        <x:f>'Коефіцієнти'!$B$24*'Коефіцієнти'!$B$21^(A13-1)</x:f>
        <x:v>872609615.3025362</x:v>
      </x:c>
      <x:c r="F13" s="23" t="n">
        <x:f>E13*'Коефіцієнти'!$B$23</x:f>
        <x:v>244330692.28471017</x:v>
      </x:c>
      <x:c r="G13" s="23" t="n">
        <x:f>'Коефіцієнти'!$B$49*'Коефіцієнти'!$B$22^(A13-1)</x:f>
        <x:v>40009993.89474483</x:v>
      </x:c>
      <x:c r="H13" s="23" t="n">
        <x:f>B13*'Коефіцієнти'!$B$16</x:f>
        <x:v>875316485.0418799</x:v>
      </x:c>
      <x:c r="I13" s="23" t="n">
        <x:f>C13*'Коефіцієнти'!$B$16</x:f>
        <x:v>5334076.192297214</x:v>
      </x:c>
    </x:row>
    <x:row r="14" ht="26" customHeight="1">
      <x:c r="A14" s="18" t="n">
        <x:v>552</x:v>
      </x:c>
      <x:c r="B14" s="22" t="n">
        <x:f>'Коефіцієнти'!$B$45*'Коефіцієнти'!$B$13^(A14-1)</x:f>
        <x:v>125236381438302730000</x:v>
      </x:c>
      <x:c r="C14" s="22" t="n">
        <x:f>'Коефіцієнти'!$B$46*'Коефіцієнти'!$B$14^(A14-1)</x:f>
        <x:v>7043445106866723</x:v>
      </x:c>
      <x:c r="D14" s="22" t="n">
        <x:f>'Коефіцієнти'!$B$48*'Коефіцієнти'!$B$20^(A14-1)</x:f>
        <x:v>7.701064631305529e+23</x:v>
      </x:c>
      <x:c r="E14" s="22" t="n">
        <x:f>'Коефіцієнти'!$B$24*'Коефіцієнти'!$B$21^(A14-1)</x:f>
        <x:v>6.417553859421274e+22</x:v>
      </x:c>
      <x:c r="F14" s="22" t="n">
        <x:f>E14*'Коефіцієнти'!$B$23</x:f>
        <x:v>1.796915080637957e+22</x:v>
      </x:c>
      <x:c r="G14" s="22" t="n">
        <x:f>'Коефіцієнти'!$B$49*'Коефіцієнти'!$B$22^(A14-1)</x:f>
        <x:v>279083402839399170</x:v>
      </x:c>
      <x:c r="H14" s="22" t="n">
        <x:f>B14*'Коефіцієнти'!$B$16</x:f>
        <x:v>137760019582133010000</x:v>
      </x:c>
      <x:c r="I14" s="22" t="n">
        <x:f>C14*'Коефіцієнти'!$B$16</x:f>
        <x:v>7747789617553396</x:v>
      </x:c>
    </x:row>
    <x:row r="15" ht="26" customHeight="1">
      <x:c r="A15" s="19" t="n">
        <x:v>2215</x:v>
      </x:c>
      <x:c r="B15" s="23" t="n">
        <x:f>'Коефіцієнти'!$B$45*'Коефіцієнти'!$B$13^(A15-1)</x:f>
        <x:v>4.802151812557141e+75</x:v>
      </x:c>
      <x:c r="C15" s="23" t="n">
        <x:f>'Коефіцієнти'!$B$46*'Коефіцієнти'!$B$14^(A15-1)</x:f>
        <x:v>2.1388624876930422e+61</x:v>
      </x:c>
      <x:c r="D15" s="23" t="n">
        <x:f>'Коефіцієнти'!$B$48*'Коефіцієнти'!$B$20^(A15-1)</x:f>
        <x:v>5.279419672209699e+92</x:v>
      </x:c>
      <x:c r="E15" s="23" t="n">
        <x:f>'Коефіцієнти'!$B$24*'Коефіцієнти'!$B$21^(A15-1)</x:f>
        <x:v>4.3995163935080825e+91</x:v>
      </x:c>
      <x:c r="F15" s="23" t="n">
        <x:f>E15*'Коефіцієнти'!$B$23</x:f>
        <x:v>1.2318645901822631e+91</x:v>
      </x:c>
      <x:c r="G15" s="23" t="n">
        <x:f>'Коефіцієнти'!$B$49*'Коефіцієнти'!$B$22^(A15-1)</x:f>
        <x:v>2.0462387284922e+66</x:v>
      </x:c>
      <x:c r="H15" s="23" t="n">
        <x:f>B15*'Коефіцієнти'!$B$16</x:f>
        <x:v>5.282366993812855e+75</x:v>
      </x:c>
      <x:c r="I15" s="23" t="n">
        <x:f>C15*'Коефіцієнти'!$B$16</x:f>
        <x:v>2.3527487364623466e+61</x:v>
      </x:c>
    </x:row>
    <x:row r="16" ht="26" customHeight="1">
      <x:c r="A16" s="18" t="n">
        <x:v>5087</x:v>
      </x:c>
      <x:c r="B16" s="22" t="n">
        <x:f>'Коефіцієнти'!$B$45*'Коефіцієнти'!$B$13^(A16-1)</x:f>
        <x:v>4.725650990747539e+171</x:v>
      </x:c>
      <x:c r="C16" s="22" t="n">
        <x:f>'Коефіцієнти'!$B$46*'Коефіцієнти'!$B$14^(A16-1)</x:f>
        <x:v>7.555381402287771e+139</x:v>
      </x:c>
      <x:c r="D16" s="22" t="n">
        <x:f>'Коефіцієнти'!$B$48*'Коефіцієнти'!$B$20^(A16-1)</x:f>
        <x:v>4.002929679238455e+211</x:v>
      </x:c>
      <x:c r="E16" s="22" t="n">
        <x:f>'Коефіцієнти'!$B$24*'Коефіцієнти'!$B$21^(A16-1)</x:f>
        <x:v>3.3357747326987127e+210</x:v>
      </x:c>
      <x:c r="F16" s="22" t="n">
        <x:f>E16*'Коефіцієнти'!$B$23</x:f>
        <x:v>9.340169251556396e+209</x:v>
      </x:c>
      <x:c r="G16" s="22" t="n">
        <x:f>'Коефіцієнти'!$B$49*'Коефіцієнти'!$B$22^(A16-1)</x:f>
        <x:v>5.025344187436526e+150</x:v>
      </x:c>
      <x:c r="H16" s="22" t="n">
        <x:f>B16*'Коефіцієнти'!$B$16</x:f>
        <x:v>5.198216089822293e+171</x:v>
      </x:c>
      <x:c r="I16" s="22" t="n">
        <x:f>C16*'Коефіцієнти'!$B$16</x:f>
        <x:v>8.310919542516548e+139</x:v>
      </x:c>
    </x:row>
    <x:row r="19" ht="25" customHeight="1">
      <x:c r="A19" s="7" t="str">
        <x:v>Ціна наступного рівня n→n+1</x:v>
      </x:c>
      <x:c r="B19" s="7"/>
      <x:c r="C19" s="7"/>
      <x:c r="D19" s="7"/>
      <x:c r="E19" s="7"/>
      <x:c r="F19" s="7"/>
      <x:c r="G19" s="7"/>
    </x:row>
    <x:row r="21" ht="42" customHeight="1">
      <x:c r="A21" s="13" t="str">
        <x:v>Поточний n</x:v>
      </x:c>
      <x:c r="B21" s="13" t="str">
        <x:v>Power одного джерела</x:v>
      </x:c>
      <x:c r="C21" s="13" t="str">
        <x:v>Weapon/Armor Gold</x:v>
      </x:c>
      <x:c r="D21" s="13" t="str">
        <x:v>Book Damage/HP</x:v>
      </x:c>
      <x:c r="E21" s="13" t="str">
        <x:v>Helmet Gold</x:v>
      </x:c>
      <x:c r="F21" s="13" t="str">
        <x:v>Book crit/critDamage</x:v>
      </x:c>
      <x:c r="G21" s="13" t="str">
        <x:v>Amulet Gold</x:v>
      </x:c>
    </x:row>
    <x:row r="22" ht="26" customHeight="1">
      <x:c r="A22" s="18" t="n">
        <x:v>0</x:v>
      </x:c>
      <x:c r="B22" s="22" t="n">
        <x:f>'Коефіцієнти'!$B$28^A22</x:f>
        <x:v>1</x:v>
      </x:c>
      <x:c r="C22" s="22" t="n">
        <x:f>'Коефіцієнти'!$B$39*'Коефіцієнти'!$B$30^A22</x:f>
        <x:v>20</x:v>
      </x:c>
      <x:c r="D22" s="22" t="n">
        <x:f>'Коефіцієнти'!$B$35*'Коефіцієнти'!$B$29^A22</x:f>
        <x:v>1</x:v>
      </x:c>
      <x:c r="E22" s="22" t="n">
        <x:f>'Коефіцієнти'!$B$41*'Коефіцієнти'!$B$30^A22</x:f>
        <x:v>35</x:v>
      </x:c>
      <x:c r="F22" s="22" t="n">
        <x:f>'Коефіцієнти'!$B$37*'Коефіцієнти'!$B$29^A22</x:f>
        <x:v>2</x:v>
      </x:c>
      <x:c r="G22" s="22" t="n">
        <x:f>'Коефіцієнти'!$B$42*'Коефіцієнти'!$B$30^A22</x:f>
        <x:v>30</x:v>
      </x:c>
    </x:row>
    <x:row r="23" ht="26" customHeight="1">
      <x:c r="A23" s="19" t="n">
        <x:v>1</x:v>
      </x:c>
      <x:c r="B23" s="23" t="n">
        <x:f>'Коефіцієнти'!$B$28^A23</x:f>
        <x:v>1.05</x:v>
      </x:c>
      <x:c r="C23" s="23" t="n">
        <x:f>'Коефіцієнти'!$B$39*'Коефіцієнти'!$B$30^A23</x:f>
        <x:v>22.810000000000002</x:v>
      </x:c>
      <x:c r="D23" s="23" t="n">
        <x:f>'Коефіцієнти'!$B$35*'Коефіцієнти'!$B$29^A23</x:f>
        <x:v>1.1605</x:v>
      </x:c>
      <x:c r="E23" s="23" t="n">
        <x:f>'Коефіцієнти'!$B$41*'Коефіцієнти'!$B$30^A23</x:f>
        <x:v>39.917500000000004</x:v>
      </x:c>
      <x:c r="F23" s="23" t="n">
        <x:f>'Коефіцієнти'!$B$37*'Коефіцієнти'!$B$29^A23</x:f>
        <x:v>2.321</x:v>
      </x:c>
      <x:c r="G23" s="23" t="n">
        <x:f>'Коефіцієнти'!$B$42*'Коефіцієнти'!$B$30^A23</x:f>
        <x:v>34.215</x:v>
      </x:c>
    </x:row>
    <x:row r="24" ht="26" customHeight="1">
      <x:c r="A24" s="18" t="n">
        <x:v>10</x:v>
      </x:c>
      <x:c r="B24" s="22" t="n">
        <x:f>'Коефіцієнти'!$B$28^A24</x:f>
        <x:v>1.628894626777442</x:v>
      </x:c>
      <x:c r="C24" s="22" t="n">
        <x:f>'Коефіцієнти'!$B$39*'Коефіцієнти'!$B$30^A24</x:f>
        <x:v>74.47026371768912</x:v>
      </x:c>
      <x:c r="D24" s="22" t="n">
        <x:f>'Коефіцієнти'!$B$35*'Коефіцієнти'!$B$29^A24</x:f>
        <x:v>4.430486809616235</x:v>
      </x:c>
      <x:c r="E24" s="22" t="n">
        <x:f>'Коефіцієнти'!$B$41*'Коефіцієнти'!$B$30^A24</x:f>
        <x:v>130.32296150595596</x:v>
      </x:c>
      <x:c r="F24" s="22" t="n">
        <x:f>'Коефіцієнти'!$B$37*'Коефіцієнти'!$B$29^A24</x:f>
        <x:v>8.86097361923247</x:v>
      </x:c>
      <x:c r="G24" s="22" t="n">
        <x:f>'Коефіцієнти'!$B$42*'Коефіцієнти'!$B$30^A24</x:f>
        <x:v>111.70539557653369</x:v>
      </x:c>
    </x:row>
    <x:row r="25" ht="26" customHeight="1">
      <x:c r="A25" s="19" t="n">
        <x:v>25</x:v>
      </x:c>
      <x:c r="B25" s="23" t="n">
        <x:f>'Коефіцієнти'!$B$28^A25</x:f>
        <x:v>3.3863549408993885</x:v>
      </x:c>
      <x:c r="C25" s="23" t="n">
        <x:f>'Коефіцієнти'!$B$39*'Коефіцієнти'!$B$30^A25</x:f>
        <x:v>535.072013286574</x:v>
      </x:c>
      <x:c r="D25" s="23" t="n">
        <x:f>'Коефіцієнти'!$B$35*'Коефіцієнти'!$B$29^A25</x:f>
        <x:v>41.31698474407496</x:v>
      </x:c>
      <x:c r="E25" s="23" t="n">
        <x:f>'Коефіцієнти'!$B$41*'Коефіцієнти'!$B$30^A25</x:f>
        <x:v>936.3760232515045</x:v>
      </x:c>
      <x:c r="F25" s="23" t="n">
        <x:f>'Коефіцієнти'!$B$37*'Коефіцієнти'!$B$29^A25</x:f>
        <x:v>82.63396948814992</x:v>
      </x:c>
      <x:c r="G25" s="23" t="n">
        <x:f>'Коефіцієнти'!$B$42*'Коефіцієнти'!$B$30^A25</x:f>
        <x:v>802.608019929861</x:v>
      </x:c>
    </x:row>
    <x:row r="26" ht="26" customHeight="1">
      <x:c r="A26" s="18" t="n">
        <x:v>50</x:v>
      </x:c>
      <x:c r="B26" s="22" t="n">
        <x:f>'Коефіцієнти'!$B$28^A26</x:f>
        <x:v>11.4673997857537</x:v>
      </x:c>
      <x:c r="C26" s="22" t="n">
        <x:f>'Коефіцієнти'!$B$39*'Коефіцієнти'!$B$30^A26</x:f>
        <x:v>14315.102970127382</x:v>
      </x:c>
      <x:c r="D26" s="22" t="n">
        <x:f>'Коефіцієнти'!$B$35*'Коефіцієнти'!$B$29^A26</x:f>
        <x:v>1707.093228342123</x:v>
      </x:c>
      <x:c r="E26" s="22" t="n">
        <x:f>'Коефіцієнти'!$B$41*'Коефіцієнти'!$B$30^A26</x:f>
        <x:v>25051.43019772292</x:v>
      </x:c>
      <x:c r="F26" s="22" t="n">
        <x:f>'Коефіцієнти'!$B$37*'Коефіцієнти'!$B$29^A26</x:f>
        <x:v>3414.186456684246</x:v>
      </x:c>
      <x:c r="G26" s="22" t="n">
        <x:f>'Коефіцієнти'!$B$42*'Коефіцієнти'!$B$30^A26</x:f>
        <x:v>21472.654455191074</x:v>
      </x:c>
    </x:row>
    <x:row r="27" ht="26" customHeight="1">
      <x:c r="A27" s="19" t="n">
        <x:v>100</x:v>
      </x:c>
      <x:c r="B27" s="23" t="n">
        <x:f>'Коефіцієнти'!$B$28^A27</x:f>
        <x:v>131.50125784630401</x:v>
      </x:c>
      <x:c r="C27" s="23" t="n">
        <x:f>'Коефіцієнти'!$B$39*'Коефіцієнти'!$B$30^A27</x:f>
        <x:v>10246108.65226749</x:v>
      </x:c>
      <x:c r="D27" s="23" t="n">
        <x:f>'Коефіцієнти'!$B$35*'Коефіцієнти'!$B$29^A27</x:f>
        <x:v>2914167.2902515316</x:v>
      </x:c>
      <x:c r="E27" s="23" t="n">
        <x:f>'Коефіцієнти'!$B$41*'Коефіцієнти'!$B$30^A27</x:f>
        <x:v>17930690.141468108</x:v>
      </x:c>
      <x:c r="F27" s="23" t="n">
        <x:f>'Коефіцієнти'!$B$37*'Коефіцієнти'!$B$29^A27</x:f>
        <x:v>5828334.580503063</x:v>
      </x:c>
      <x:c r="G27" s="23" t="n">
        <x:f>'Коефіцієнти'!$B$42*'Коефіцієнти'!$B$30^A27</x:f>
        <x:v>15369162.978401234</x:v>
      </x:c>
    </x:row>
    <x:row r="28" ht="26" customHeight="1">
      <x:c r="A28" s="18" t="n">
        <x:v>500</x:v>
      </x:c>
      <x:c r="B28" s="22" t="n">
        <x:f>'Коефіцієнти'!$B$28^A28</x:f>
        <x:v>39323261827.218666</x:v>
      </x:c>
      <x:c r="C28" s="22" t="n">
        <x:f>'Коефіцієнти'!$B$39*'Коефіцієнти'!$B$30^A28</x:f>
        <x:v>7.057888644175957e+29</x:v>
      </x:c>
      <x:c r="D28" s="22" t="n">
        <x:f>'Коефіцієнти'!$B$35*'Коефіцієнти'!$B$29^A28</x:f>
        <x:v>2.1017080901244482e+32</x:v>
      </x:c>
      <x:c r="E28" s="22" t="n">
        <x:f>'Коефіцієнти'!$B$41*'Коефіцієнти'!$B$30^A28</x:f>
        <x:v>1.2351305127307926e+30</x:v>
      </x:c>
      <x:c r="F28" s="22" t="n">
        <x:f>'Коефіцієнти'!$B$37*'Коефіцієнти'!$B$29^A28</x:f>
        <x:v>4.2034161802488964e+32</x:v>
      </x:c>
      <x:c r="G28" s="22" t="n">
        <x:f>'Коефіцієнти'!$B$42*'Коефіцієнти'!$B$30^A28</x:f>
        <x:v>1.0586832966263937e+30</x:v>
      </x:c>
    </x:row>
    <x:row r="29" ht="26" customHeight="1">
      <x:c r="A29" s="19" t="n">
        <x:v>1000</x:v>
      </x:c>
      <x:c r="B29" s="23" t="n">
        <x:f>'Коефіцієнти'!$B$28^A29</x:f>
        <x:v>1.5463189207319925e+21</x:v>
      </x:c>
      <x:c r="C29" s="23" t="n">
        <x:f>'Коефіцієнти'!$B$39*'Коефіцієнти'!$B$30^A29</x:f>
        <x:v>2.4906896056793972e+58</x:v>
      </x:c>
      <x:c r="D29" s="23" t="n">
        <x:f>'Коефіцієнти'!$B$35*'Коефіцієнти'!$B$29^A29</x:f>
        <x:v>4.4171768960945555e+64</x:v>
      </x:c>
      <x:c r="E29" s="23" t="n">
        <x:f>'Коефіцієнти'!$B$41*'Коефіцієнти'!$B$30^A29</x:f>
        <x:v>4.358706809938945e+58</x:v>
      </x:c>
      <x:c r="F29" s="23" t="n">
        <x:f>'Коефіцієнти'!$B$37*'Коефіцієнти'!$B$29^A29</x:f>
        <x:v>8.834353792189111e+64</x:v>
      </x:c>
      <x:c r="G29" s="23" t="n">
        <x:f>'Коефіцієнти'!$B$42*'Коефіцієнти'!$B$30^A29</x:f>
        <x:v>3.736034408519096e+58</x:v>
      </x:c>
    </x:row>
    <x:row r="30" ht="26" customHeight="1">
      <x:c r="A30" s="18" t="n">
        <x:v>3700</x:v>
      </x:c>
      <x:c r="B30" s="22" t="n">
        <x:f>'Коефіцієнти'!$B$28^A30</x:f>
        <x:v>2.514239000231984e+78</x:v>
      </x:c>
      <x:c r="C30" s="22" t="n">
        <x:f>'Коефіцієнти'!$B$39*'Коефіцієнти'!$B$30^A30</x:f>
        <x:v>3.5776805713532516e+212</x:v>
      </x:c>
      <x:c r="D30" s="22" t="n">
        <x:f>'Коефіцієнти'!$B$35*'Коефіцієнти'!$B$29^A30</x:f>
        <x:v>1.538281192176326e+239</x:v>
      </x:c>
      <x:c r="E30" s="22" t="n">
        <x:f>'Коефіцієнти'!$B$41*'Коефіцієнти'!$B$30^A30</x:f>
        <x:v>6.26094099986819e+212</x:v>
      </x:c>
      <x:c r="F30" s="22" t="n">
        <x:f>'Коефіцієнти'!$B$37*'Коефіцієнти'!$B$29^A30</x:f>
        <x:v>3.076562384352652e+239</x:v>
      </x:c>
      <x:c r="G30" s="22" t="n">
        <x:f>'Коефіцієнти'!$B$42*'Коефіцієнти'!$B$30^A30</x:f>
        <x:v>5.366520857029877e+212</x:v>
      </x:c>
    </x:row>
    <x:row r="33" ht="25" customHeight="1">
      <x:c r="A33" s="7" t="str">
        <x:v>XP та бонус character level</x:v>
      </x:c>
      <x:c r="B33" s="7"/>
      <x:c r="C33" s="7"/>
      <x:c r="D33" s="7"/>
    </x:row>
    <x:row r="35" ht="42" customHeight="1">
      <x:c r="A35" s="13" t="str">
        <x:v>Level</x:v>
      </x:c>
      <x:c r="B35" s="13" t="str">
        <x:v>XP до наступного</x:v>
      </x:c>
      <x:c r="C35" s="13" t="str">
        <x:v>Сумарний XP до Level</x:v>
      </x:c>
      <x:c r="D35" s="13" t="str">
        <x:v>HP/Damage × від Level</x:v>
      </x:c>
    </x:row>
    <x:row r="36" ht="26" customHeight="1">
      <x:c r="A36" s="18" t="n">
        <x:v>1</x:v>
      </x:c>
      <x:c r="B36" s="22" t="n">
        <x:f>'Коефіцієнти'!$B$25*'Коефіцієнти'!$B$26^(A36-1)</x:f>
        <x:v>45</x:v>
      </x:c>
      <x:c r="C36" s="22" t="n">
        <x:f>'Коефіцієнти'!$B$25*('Коефіцієнти'!$B$26^(A36-1)-1)/('Коефіцієнти'!$B$26-1)</x:f>
        <x:v>0</x:v>
      </x:c>
      <x:c r="D36" s="22" t="n">
        <x:f>'Коефіцієнти'!$B$27^(A36-1)</x:f>
        <x:v>1</x:v>
      </x:c>
    </x:row>
    <x:row r="37" ht="26" customHeight="1">
      <x:c r="A37" s="19" t="n">
        <x:v>10</x:v>
      </x:c>
      <x:c r="B37" s="23" t="n">
        <x:f>'Коефіцієнти'!$B$25*'Коефіцієнти'!$B$26^(A37-1)</x:f>
        <x:v>124.78854408525851</x:v>
      </x:c>
      <x:c r="C37" s="23" t="n">
        <x:f>'Коефіцієнти'!$B$25*('Коефіцієнти'!$B$26^(A37-1)-1)/('Коефіцієнти'!$B$26-1)</x:f>
        <x:v>664.9045340438203</x:v>
      </x:c>
      <x:c r="D37" s="23" t="n">
        <x:f>'Коефіцієнти'!$B$27^(A37-1)</x:f>
        <x:v>1.1433899753942356</x:v>
      </x:c>
    </x:row>
    <x:row r="38" ht="26" customHeight="1">
      <x:c r="A38" s="18" t="n">
        <x:v>50</x:v>
      </x:c>
      <x:c r="B38" s="22" t="n">
        <x:f>'Коефіцієнти'!$B$25*'Коефіцієнти'!$B$26^(A38-1)</x:f>
        <x:v>11611.695127098244</x:v>
      </x:c>
      <x:c r="C38" s="22" t="n">
        <x:f>'Коефіцієнти'!$B$25*('Коефіцієнти'!$B$26^(A38-1)-1)/('Коефіцієнти'!$B$26-1)</x:f>
        <x:v>96389.12605915195</x:v>
      </x:c>
      <x:c r="D38" s="22" t="n">
        <x:f>'Коефіцієнти'!$B$27^(A38-1)</x:f>
        <x:v>2.0741304636526747</x:v>
      </x:c>
    </x:row>
    <x:row r="39" ht="26" customHeight="1">
      <x:c r="A39" s="19" t="n">
        <x:v>100</x:v>
      </x:c>
      <x:c r="B39" s="23" t="n">
        <x:f>'Коефіцієнти'!$B$25*'Коефіцієнти'!$B$26^(A39-1)</x:f>
        <x:v>3355805.3193697417</x:v>
      </x:c>
      <x:c r="C39" s="23" t="n">
        <x:f>'Коефіцієнти'!$B$25*('Коефіцієнти'!$B$26^(A39-1)-1)/('Коефіцієнти'!$B$26-1)</x:f>
        <x:v>27964669.328081157</x:v>
      </x:c>
      <x:c r="D39" s="23" t="n">
        <x:f>'Коефіцієнти'!$B$27^(A39-1)</x:f>
        <x:v>4.36654743795584</x:v>
      </x:c>
    </x:row>
    <x:row r="40" ht="26" customHeight="1">
      <x:c r="A40" s="18" t="n">
        <x:v>144</x:v>
      </x:c>
      <x:c r="B40" s="22" t="n">
        <x:f>'Коефіцієнти'!$B$25*'Коефіцієнти'!$B$26^(A40-1)</x:f>
        <x:v>491348636.9474023</x:v>
      </x:c>
      <x:c r="C40" s="22" t="n">
        <x:f>'Коефіцієнти'!$B$25*('Коефіцієнти'!$B$26^(A40-1)-1)/('Коефіцієнти'!$B$26-1)</x:f>
        <x:v>4094571599.561682</x:v>
      </x:c>
      <x:c r="D40" s="22" t="n">
        <x:f>'Коефіцієнти'!$B$27^(A40-1)</x:f>
        <x:v>8.407057961867608</x:v>
      </x:c>
    </x:row>
    <x:row r="41" ht="26" customHeight="1">
      <x:c r="A41" s="19" t="n">
        <x:v>340</x:v>
      </x:c>
      <x:c r="B41" s="23" t="n">
        <x:f>'Коефіцієнти'!$B$25*'Коефіцієнти'!$B$26^(A41-1)</x:f>
        <x:v>2178322608430392000</x:v>
      </x:c>
      <x:c r="C41" s="23" t="n">
        <x:f>'Коефіцієнти'!$B$25*('Коефіцієнти'!$B$26^(A41-1)-1)/('Коефіцієнти'!$B$26-1)</x:f>
        <x:v>18152688403586585000</x:v>
      </x:c>
      <x:c r="D41" s="23" t="n">
        <x:f>'Коефіцієнти'!$B$27^(A41-1)</x:f>
        <x:v>155.59237946455482</x:v>
      </x:c>
    </x:row>
    <x:row r="42" ht="26" customHeight="1">
      <x:c r="A42" s="18" t="n">
        <x:v>1333</x:v>
      </x:c>
      <x:c r="B42" s="22" t="n">
        <x:f>'Коефіцієнти'!$B$25*'Коефіцієнти'!$B$26^(A42-1)</x:f>
        <x:v>1.6278662172992807e+67</x:v>
      </x:c>
      <x:c r="C42" s="22" t="n">
        <x:f>'Коефіцієнти'!$B$25*('Коефіцієнти'!$B$26^(A42-1)-1)/('Коефіцієнти'!$B$26-1)</x:f>
        <x:v>1.3565551810827327e+68</x:v>
      </x:c>
      <x:c r="D42" s="22" t="n">
        <x:f>'Коефіцієнти'!$B$27^(A42-1)</x:f>
        <x:v>409985291.1092273</x:v>
      </x:c>
    </x:row>
    <x:row r="43" ht="26" customHeight="1">
      <x:c r="A43" s="19" t="n">
        <x:v>3048</x:v>
      </x:c>
      <x:c r="B43" s="23" t="n">
        <x:f>'Коефіцієнти'!$B$25*'Коефіцієнти'!$B$26^(A43-1)</x:f>
        <x:v>4.1737611265338854e+151</x:v>
      </x:c>
      <x:c r="C43" s="23" t="n">
        <x:f>'Коефіцієнти'!$B$25*('Коефіцієнти'!$B$26^(A43-1)-1)/('Коефіцієнти'!$B$26-1)</x:f>
        <x:v>3.478134272111568e+152</x:v>
      </x:c>
      <x:c r="D43" s="23" t="n">
        <x:f>'Коефіцієнти'!$B$27^(A43-1)</x:f>
        <x:v>50353624091839280000</x:v>
      </x:c>
    </x:row>
    <x:row r="46" ht="25" customHeight="1">
      <x:c r="A46" s="7" t="str">
        <x:v>Усі 8 доступних покупок</x:v>
      </x:c>
      <x:c r="B46" s="7"/>
      <x:c r="C46" s="7"/>
      <x:c r="D46" s="7"/>
      <x:c r="E46" s="7"/>
      <x:c r="F46" s="7"/>
    </x:row>
    <x:row r="48" ht="42" customHeight="1">
      <x:c r="A48" s="13" t="str">
        <x:v>ID</x:v>
      </x:c>
      <x:c r="B48" s="13" t="str">
        <x:v>Назва в грі</x:v>
      </x:c>
      <x:c r="C48" s="13" t="str">
        <x:v>Валюта</x:v>
      </x:c>
      <x:c r="D48" s="13" t="str">
        <x:v>Перша ціна</x:v>
      </x:c>
      <x:c r="E48" s="13" t="str">
        <x:v>Ріст ціни</x:v>
      </x:c>
      <x:c r="F48" s="13" t="str">
        <x:v>За 1 рівень</x:v>
      </x:c>
    </x:row>
    <x:row r="49" ht="48" customHeight="1">
      <x:c r="A49" s="15" t="str">
        <x:v>damage</x:v>
      </x:c>
      <x:c r="B49" s="15" t="str">
        <x:v>Damage</x:v>
      </x:c>
      <x:c r="C49" s="15" t="str">
        <x:v>Books</x:v>
      </x:c>
      <x:c r="D49" s="15" t="n">
        <x:v>1</x:v>
      </x:c>
      <x:c r="E49" s="15" t="n">
        <x:v>1.1605</x:v>
      </x:c>
      <x:c r="F49" s="15" t="str">
        <x:v>×1.05 damage</x:v>
      </x:c>
    </x:row>
    <x:row r="50" ht="48" customHeight="1">
      <x:c r="A50" s="16" t="str">
        <x:v>hp</x:v>
      </x:c>
      <x:c r="B50" s="16" t="str">
        <x:v>Max HP</x:v>
      </x:c>
      <x:c r="C50" s="16" t="str">
        <x:v>Books</x:v>
      </x:c>
      <x:c r="D50" s="16" t="n">
        <x:v>1</x:v>
      </x:c>
      <x:c r="E50" s="16" t="n">
        <x:v>1.1605</x:v>
      </x:c>
      <x:c r="F50" s="16" t="str">
        <x:v>×1.05 HP</x:v>
      </x:c>
    </x:row>
    <x:row r="51" ht="48" customHeight="1">
      <x:c r="A51" s="15" t="str">
        <x:v>crit</x:v>
      </x:c>
      <x:c r="B51" s="15" t="str">
        <x:v>Crit Chance</x:v>
      </x:c>
      <x:c r="C51" s="15" t="str">
        <x:v>Books</x:v>
      </x:c>
      <x:c r="D51" s="15" t="n">
        <x:v>2</x:v>
      </x:c>
      <x:c r="E51" s="15" t="n">
        <x:v>1.1605</x:v>
      </x:c>
      <x:c r="F51" s="15" t="str">
        <x:v>+0.1 п.п. chance; загальний cap 80%</x:v>
      </x:c>
    </x:row>
    <x:row r="52" ht="48" customHeight="1">
      <x:c r="A52" s="16" t="str">
        <x:v>critDamage</x:v>
      </x:c>
      <x:c r="B52" s="16" t="str">
        <x:v>Crit Damage</x:v>
      </x:c>
      <x:c r="C52" s="16" t="str">
        <x:v>Books</x:v>
      </x:c>
      <x:c r="D52" s="16" t="n">
        <x:v>2</x:v>
      </x:c>
      <x:c r="E52" s="16" t="n">
        <x:v>1.1605</x:v>
      </x:c>
      <x:c r="F52" s="16" t="str">
        <x:v>+0.01× crit multiplier</x:v>
      </x:c>
    </x:row>
    <x:row r="53" ht="48" customHeight="1">
      <x:c r="A53" s="15" t="str">
        <x:v>weapon</x:v>
      </x:c>
      <x:c r="B53" s="15" t="str">
        <x:v>Weapon</x:v>
      </x:c>
      <x:c r="C53" s="15" t="str">
        <x:v>Gold</x:v>
      </x:c>
      <x:c r="D53" s="15" t="n">
        <x:v>20</x:v>
      </x:c>
      <x:c r="E53" s="15" t="n">
        <x:v>1.1405</x:v>
      </x:c>
      <x:c r="F53" s="15" t="str">
        <x:v>×1.05 damage</x:v>
      </x:c>
    </x:row>
    <x:row r="54" ht="48" customHeight="1">
      <x:c r="A54" s="16" t="str">
        <x:v>armor</x:v>
      </x:c>
      <x:c r="B54" s="16" t="str">
        <x:v>Armor</x:v>
      </x:c>
      <x:c r="C54" s="16" t="str">
        <x:v>Gold</x:v>
      </x:c>
      <x:c r="D54" s="16" t="n">
        <x:v>20</x:v>
      </x:c>
      <x:c r="E54" s="16" t="n">
        <x:v>1.1405</x:v>
      </x:c>
      <x:c r="F54" s="16" t="str">
        <x:v>×1.05 HP</x:v>
      </x:c>
    </x:row>
    <x:row r="55" ht="48" customHeight="1">
      <x:c r="A55" s="15" t="str">
        <x:v>helmet</x:v>
      </x:c>
      <x:c r="B55" s="15" t="str">
        <x:v>Helmet</x:v>
      </x:c>
      <x:c r="C55" s="15" t="str">
        <x:v>Gold</x:v>
      </x:c>
      <x:c r="D55" s="15" t="n">
        <x:v>35</x:v>
      </x:c>
      <x:c r="E55" s="15" t="n">
        <x:v>1.1405</x:v>
      </x:c>
      <x:c r="F55" s="15" t="str">
        <x:v>+0.1 п.п. chance; загальний cap 80%</x:v>
      </x:c>
    </x:row>
    <x:row r="56" ht="48" customHeight="1">
      <x:c r="A56" s="16" t="str">
        <x:v>amulet</x:v>
      </x:c>
      <x:c r="B56" s="16" t="str">
        <x:v>Amulet</x:v>
      </x:c>
      <x:c r="C56" s="16" t="str">
        <x:v>Gold</x:v>
      </x:c>
      <x:c r="D56" s="16" t="n">
        <x:v>30</x:v>
      </x:c>
      <x:c r="E56" s="16" t="n">
        <x:v>1.1405</x:v>
      </x:c>
      <x:c r="F56" s="16" t="str">
        <x:v>+0.01× crit multiplier</x:v>
      </x:c>
    </x:row>
    <x:row r="59" ht="25" customHeight="1">
      <x:c r="A59" s="7" t="str">
        <x:v>Каталог і резервні числа</x:v>
      </x:c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</x:row>
    <x:row r="61" ht="42" customHeight="1">
      <x:c r="A61" s="13" t="str">
        <x:v>Ворог</x:v>
      </x:c>
      <x:c r="B61" s="13" t="str">
        <x:v>Статус</x:v>
      </x:c>
      <x:c r="C61" s="13" t="str">
        <x:v>HP</x:v>
      </x:c>
      <x:c r="D61" s="13" t="str">
        <x:v>Damage</x:v>
      </x:c>
      <x:c r="E61" s="13" t="str">
        <x:v>Атак/с</x:v>
      </x:c>
      <x:c r="F61" s="13" t="str">
        <x:v>Crit chance</x:v>
      </x:c>
      <x:c r="G61" s="13" t="str">
        <x:v>Crit ×</x:v>
      </x:c>
      <x:c r="H61" s="13" t="str">
        <x:v>Gold</x:v>
      </x:c>
      <x:c r="I61" s="13" t="str">
        <x:v>XP</x:v>
      </x:c>
      <x:c r="J61" s="13" t="str">
        <x:v>Books/drop</x:v>
      </x:c>
      <x:c r="K61" s="13" t="str">
        <x:v>Book chance</x:v>
      </x:c>
      <x:c r="L61" s="13" t="str">
        <x:v>Weight</x:v>
      </x:c>
    </x:row>
    <x:row r="62" ht="80" customHeight="1">
      <x:c r="A62" s="15" t="str">
        <x:v>gobli_low / Goblin</x:v>
      </x:c>
      <x:c r="B62" s="15" t="str">
        <x:v>Активний, 100%</x:v>
      </x:c>
      <x:c r="C62" s="15" t="n">
        <x:v>48</x:v>
      </x:c>
      <x:c r="D62" s="15" t="n">
        <x:v>6</x:v>
      </x:c>
      <x:c r="E62" s="15" t="n">
        <x:v>0.75</x:v>
      </x:c>
      <x:c r="F62" s="15" t="n">
        <x:v>0.03</x:v>
      </x:c>
      <x:c r="G62" s="15" t="n">
        <x:v>1.5</x:v>
      </x:c>
      <x:c r="H62" s="15" t="n">
        <x:v>12</x:v>
      </x:c>
      <x:c r="I62" s="15" t="n">
        <x:v>18</x:v>
      </x:c>
      <x:c r="J62" s="15" t="n">
        <x:v>1</x:v>
      </x:c>
      <x:c r="K62" s="15" t="n">
        <x:v>0.28</x:v>
      </x:c>
      <x:c r="L62" s="15" t="n">
        <x:v>1</x:v>
      </x:c>
    </x:row>
    <x:row r="63" ht="80" customHeight="1">
      <x:c r="A63" s="16" t="str">
        <x:v>Slime</x:v>
      </x:c>
      <x:c r="B63" s="16" t="str">
        <x:v>Окремого definition немає; його константи використовує Goblin</x:v>
      </x:c>
      <x:c r="C63" s="16" t="n">
        <x:v>48</x:v>
      </x:c>
      <x:c r="D63" s="16" t="n">
        <x:v>6</x:v>
      </x:c>
      <x:c r="E63" s="16" t="n">
        <x:v>0.75</x:v>
      </x:c>
      <x:c r="F63" s="16" t="n">
        <x:v>0.03</x:v>
      </x:c>
      <x:c r="G63" s="16" t="n">
        <x:v>1.5</x:v>
      </x:c>
      <x:c r="H63" s="16" t="n">
        <x:v>12</x:v>
      </x:c>
      <x:c r="I63" s="16" t="n">
        <x:v>18</x:v>
      </x:c>
      <x:c r="J63" s="16" t="n">
        <x:v>1</x:v>
      </x:c>
      <x:c r="K63" s="16" t="n">
        <x:v>0.28</x:v>
      </x:c>
      <x:c r="L63" s="16" t="n">
        <x:v>1</x:v>
      </x:c>
    </x:row>
    <x:row r="64" ht="80" customHeight="1">
      <x:c r="A64" s="15" t="str">
        <x:v>Sentinel</x:v>
      </x:c>
      <x:c r="B64" s="15" t="str">
        <x:v>Лише невикористані константи; crit/books — дефолти</x:v>
      </x:c>
      <x:c r="C64" s="15" t="n">
        <x:v>80</x:v>
      </x:c>
      <x:c r="D64" s="15" t="n">
        <x:v>9</x:v>
      </x:c>
      <x:c r="E64" s="15" t="n">
        <x:v>0.55</x:v>
      </x:c>
      <x:c r="F64" s="15" t="n">
        <x:v>0.03</x:v>
      </x:c>
      <x:c r="G64" s="15" t="n">
        <x:v>1.5</x:v>
      </x:c>
      <x:c r="H64" s="15" t="n">
        <x:v>20</x:v>
      </x:c>
      <x:c r="I64" s="15" t="n">
        <x:v>28</x:v>
      </x:c>
      <x:c r="J64" s="15" t="n">
        <x:v>1</x:v>
      </x:c>
      <x:c r="K64" s="15" t="n">
        <x:v>0.28</x:v>
      </x:c>
      <x:c r="L64" s="15" t="n">
        <x:v>0.5</x:v>
      </x:c>
    </x:row>
    <x:row r="65" ht="80" customHeight="1">
      <x:c r="A65" s="16" t="str">
        <x:v>Wisp</x:v>
      </x:c>
      <x:c r="B65" s="16" t="str">
        <x:v>Лише невикористані константи; crit/books — дефолти</x:v>
      </x:c>
      <x:c r="C65" s="16" t="n">
        <x:v>34</x:v>
      </x:c>
      <x:c r="D65" s="16" t="n">
        <x:v>5</x:v>
      </x:c>
      <x:c r="E65" s="16" t="n">
        <x:v>1.2</x:v>
      </x:c>
      <x:c r="F65" s="16" t="n">
        <x:v>0.03</x:v>
      </x:c>
      <x:c r="G65" s="16" t="n">
        <x:v>1.5</x:v>
      </x:c>
      <x:c r="H65" s="16" t="n">
        <x:v>14</x:v>
      </x:c>
      <x:c r="I65" s="16" t="n">
        <x:v>20</x:v>
      </x:c>
      <x:c r="J65" s="16" t="n">
        <x:v>1</x:v>
      </x:c>
      <x:c r="K65" s="16" t="n">
        <x:v>0.28</x:v>
      </x:c>
      <x:c r="L65" s="16" t="n">
        <x:v>0.8</x:v>
      </x:c>
    </x:row>
    <x:row r="68" ht="25" customHeight="1">
      <x:c r="A68" s="7" t="str">
        <x:v>Activity multipliers</x:v>
      </x:c>
      <x:c r="B68" s="7"/>
      <x:c r="C68" s="7"/>
      <x:c r="D68" s="7"/>
      <x:c r="E68" s="7"/>
      <x:c r="F68" s="7"/>
    </x:row>
    <x:row r="70" ht="42" customHeight="1">
      <x:c r="A70" s="13" t="str">
        <x:v>Стан</x:v>
      </x:c>
      <x:c r="B70" s="13" t="str">
        <x:v>Без вводу</x:v>
      </x:c>
      <x:c r="C70" s="13" t="str">
        <x:v>Movement ×</x:v>
      </x:c>
      <x:c r="D70" s="13" t="str">
        <x:v>Hero damage ×</x:v>
      </x:c>
      <x:c r="E70" s="13" t="str">
        <x:v>Gold/Books ×</x:v>
      </x:c>
      <x:c r="F70" s="13" t="str">
        <x:v>Що відбувається</x:v>
      </x:c>
    </x:row>
    <x:row r="71" ht="48" customHeight="1">
      <x:c r="A71" s="15" t="str">
        <x:v>active</x:v>
      </x:c>
      <x:c r="B71" s="15" t="str">
        <x:v>0 ≤ t &lt;30 с</x:v>
      </x:c>
      <x:c r="C71" s="15" t="n">
        <x:v>1</x:v>
      </x:c>
      <x:c r="D71" s="15" t="n">
        <x:v>1</x:v>
      </x:c>
      <x:c r="E71" s="15" t="n">
        <x:v>1</x:v>
      </x:c>
      <x:c r="F71" s="15" t="str">
        <x:v>Пригоди йдуть</x:v>
      </x:c>
    </x:row>
    <x:row r="72" ht="48" customHeight="1">
      <x:c r="A72" s="16" t="str">
        <x:v>level1</x:v>
      </x:c>
      <x:c r="B72" s="16" t="str">
        <x:v>30 ≤ t &lt;120 с</x:v>
      </x:c>
      <x:c r="C72" s="16" t="n">
        <x:v>1</x:v>
      </x:c>
      <x:c r="D72" s="16" t="n">
        <x:v>1</x:v>
      </x:c>
      <x:c r="E72" s="16" t="n">
        <x:v>1</x:v>
      </x:c>
      <x:c r="F72" s="16" t="str">
        <x:v>Після encounter герой відпочиває</x:v>
      </x:c>
    </x:row>
    <x:row r="73" ht="48" customHeight="1">
      <x:c r="A73" s="15" t="str">
        <x:v>level2</x:v>
      </x:c>
      <x:c r="B73" s="15" t="str">
        <x:v>120 ≤ t &lt;300 с</x:v>
      </x:c>
      <x:c r="C73" s="15" t="n">
        <x:v>1</x:v>
      </x:c>
      <x:c r="D73" s="15" t="n">
        <x:v>1</x:v>
      </x:c>
      <x:c r="E73" s="15" t="n">
        <x:v>1</x:v>
      </x:c>
      <x:c r="F73" s="15" t="str">
        <x:v>Пригоди зупинені під час rest</x:v>
      </x:c>
    </x:row>
    <x:row r="74" ht="48" customHeight="1">
      <x:c r="A74" s="16" t="str">
        <x:v>level3</x:v>
      </x:c>
      <x:c r="B74" s="16" t="str">
        <x:v>t ≥300 с</x:v>
      </x:c>
      <x:c r="C74" s="16" t="n">
        <x:v>1</x:v>
      </x:c>
      <x:c r="D74" s="16" t="n">
        <x:v>1</x:v>
      </x:c>
      <x:c r="E74" s="16" t="n">
        <x:v>1</x:v>
      </x:c>
      <x:c r="F74" s="16" t="str">
        <x:v>Пригоди зупинені під час rest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79CB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3" hidden="0" customWidth="1"/>
    <x:col min="2" max="2" width="27" hidden="0" customWidth="1"/>
    <x:col min="3" max="3" width="53" hidden="0" customWidth="1"/>
    <x:col min="4" max="4" width="70" hidden="0" customWidth="1"/>
  </x:cols>
  <x:sheetData>
    <x:row r="1" ht="24" customHeight="1">
      <x:c r="A1" s="1"/>
      <x:c r="B1" s="1"/>
      <x:c r="C1" s="1"/>
      <x:c r="D1" s="1"/>
    </x:row>
    <x:row r="2" ht="28" customHeight="1">
      <x:c r="A2" s="3" t="str">
        <x:v>Коефіцієнти поточного коду</x:v>
      </x:c>
      <x:c r="B2" s="4"/>
      <x:c r="C2" s="4"/>
      <x:c r="D2" s="4"/>
    </x:row>
    <x:row r="3" ht="24" customHeight="1">
      <x:c r="A3" s="5" t="str">
        <x:v>10.10.2026. Зміна коефіцієнтів оновлює Приклади. Прогрес потребує нового запуску Dart.</x:v>
      </x:c>
      <x:c r="B3" s="1"/>
      <x:c r="C3" s="1"/>
      <x:c r="D3" s="1"/>
    </x:row>
    <x:row r="4" ht="24" customHeight="1">
      <x:c r="A4" s="1"/>
      <x:c r="B4" s="1"/>
      <x:c r="C4" s="1"/>
      <x:c r="D4" s="1"/>
    </x:row>
    <x:row r="5" ht="25" customHeight="1">
      <x:c r="A5" s="7" t="str">
        <x:v>ProgressionBalance: усі 55 констант</x:v>
      </x:c>
      <x:c r="B5" s="7"/>
      <x:c r="C5" s="7"/>
      <x:c r="D5" s="7"/>
    </x:row>
    <x:row r="7" ht="42" customHeight="1">
      <x:c r="A7" s="13" t="str">
        <x:v>Ключ</x:v>
      </x:c>
      <x:c r="B7" s="13" t="str">
        <x:v>Значення</x:v>
      </x:c>
      <x:c r="C7" s="13" t="str">
        <x:v>Використання</x:v>
      </x:c>
      <x:c r="D7" s="13" t="str">
        <x:v>Джерело в коді</x:v>
      </x:c>
    </x:row>
    <x:row r="8" ht="42" customHeight="1">
      <x:c r="A8" s="15" t="str">
        <x:v>heroHp</x:v>
      </x:c>
      <x:c r="B8" s="17" t="n">
        <x:v>120</x:v>
      </x:c>
      <x:c r="C8" s="15" t="str">
        <x:v>Поточний баланс</x:v>
      </x:c>
      <x:c r="D8" s="15" t="str">
        <x:v>lib/core/balance/progression_balance.dart:4</x:v>
      </x:c>
    </x:row>
    <x:row r="9" ht="42" customHeight="1">
      <x:c r="A9" s="16" t="str">
        <x:v>heroDamage</x:v>
      </x:c>
      <x:c r="B9" s="17" t="n">
        <x:v>14</x:v>
      </x:c>
      <x:c r="C9" s="16" t="str">
        <x:v>Поточний баланс</x:v>
      </x:c>
      <x:c r="D9" s="16" t="str">
        <x:v>lib/core/balance/progression_balance.dart:5</x:v>
      </x:c>
    </x:row>
    <x:row r="10" ht="42" customHeight="1">
      <x:c r="A10" s="15" t="str">
        <x:v>heroAttackSpeed</x:v>
      </x:c>
      <x:c r="B10" s="17" t="n">
        <x:v>1</x:v>
      </x:c>
      <x:c r="C10" s="15" t="str">
        <x:v>Поточний баланс</x:v>
      </x:c>
      <x:c r="D10" s="15" t="str">
        <x:v>lib/core/balance/progression_balance.dart:6</x:v>
      </x:c>
    </x:row>
    <x:row r="11" ht="42" customHeight="1">
      <x:c r="A11" s="16" t="str">
        <x:v>heroCritChance</x:v>
      </x:c>
      <x:c r="B11" s="17" t="n">
        <x:v>0.05</x:v>
      </x:c>
      <x:c r="C11" s="16" t="str">
        <x:v>Поточний баланс</x:v>
      </x:c>
      <x:c r="D11" s="16" t="str">
        <x:v>lib/core/balance/progression_balance.dart:7</x:v>
      </x:c>
    </x:row>
    <x:row r="12" ht="42" customHeight="1">
      <x:c r="A12" s="15" t="str">
        <x:v>heroCritDamage</x:v>
      </x:c>
      <x:c r="B12" s="17" t="n">
        <x:v>1.5</x:v>
      </x:c>
      <x:c r="C12" s="15" t="str">
        <x:v>Поточний баланс</x:v>
      </x:c>
      <x:c r="D12" s="15" t="str">
        <x:v>lib/core/balance/progression_balance.dart:8</x:v>
      </x:c>
    </x:row>
    <x:row r="13" ht="42" customHeight="1">
      <x:c r="A13" s="16" t="str">
        <x:v>hpGrowth</x:v>
      </x:c>
      <x:c r="B13" s="17" t="n">
        <x:v>1.08</x:v>
      </x:c>
      <x:c r="C13" s="16" t="str">
        <x:v>Поточний баланс</x:v>
      </x:c>
      <x:c r="D13" s="16" t="str">
        <x:v>lib/core/balance/progression_balance.dart:10</x:v>
      </x:c>
    </x:row>
    <x:row r="14" ht="42" customHeight="1">
      <x:c r="A14" s="15" t="str">
        <x:v>damageGrowth</x:v>
      </x:c>
      <x:c r="B14" s="17" t="n">
        <x:v>1.065</x:v>
      </x:c>
      <x:c r="C14" s="15" t="str">
        <x:v>Поточний баланс</x:v>
      </x:c>
      <x:c r="D14" s="15" t="str">
        <x:v>lib/core/balance/progression_balance.dart:11</x:v>
      </x:c>
    </x:row>
    <x:row r="15" ht="42" customHeight="1">
      <x:c r="A15" s="16" t="str">
        <x:v>enemiesPerStage</x:v>
      </x:c>
      <x:c r="B15" s="17" t="n">
        <x:v>5</x:v>
      </x:c>
      <x:c r="C15" s="16" t="str">
        <x:v>Поточний баланс</x:v>
      </x:c>
      <x:c r="D15" s="16" t="str">
        <x:v>lib/core/balance/progression_balance.dart:12</x:v>
      </x:c>
    </x:row>
    <x:row r="16" ht="42" customHeight="1">
      <x:c r="A16" s="15" t="str">
        <x:v>bossStatMultiplier</x:v>
      </x:c>
      <x:c r="B16" s="17" t="n">
        <x:v>1.1</x:v>
      </x:c>
      <x:c r="C16" s="15" t="str">
        <x:v>Поточний баланс</x:v>
      </x:c>
      <x:c r="D16" s="15" t="str">
        <x:v>lib/core/balance/progression_balance.dart:13</x:v>
      </x:c>
    </x:row>
    <x:row r="17" ht="42" customHeight="1">
      <x:c r="A17" s="16" t="str">
        <x:v>enemyCritChance</x:v>
      </x:c>
      <x:c r="B17" s="17" t="n">
        <x:v>0.03</x:v>
      </x:c>
      <x:c r="C17" s="16" t="str">
        <x:v>Поточний баланс</x:v>
      </x:c>
      <x:c r="D17" s="16" t="str">
        <x:v>lib/core/balance/progression_balance.dart:14</x:v>
      </x:c>
    </x:row>
    <x:row r="18" ht="42" customHeight="1">
      <x:c r="A18" s="15" t="str">
        <x:v>enemyCritDamage</x:v>
      </x:c>
      <x:c r="B18" s="17" t="n">
        <x:v>1.5</x:v>
      </x:c>
      <x:c r="C18" s="15" t="str">
        <x:v>Поточний баланс</x:v>
      </x:c>
      <x:c r="D18" s="15" t="str">
        <x:v>lib/core/balance/progression_balance.dart:15</x:v>
      </x:c>
    </x:row>
    <x:row r="19" ht="42" customHeight="1">
      <x:c r="A19" s="16" t="str">
        <x:v>enemyWeight</x:v>
      </x:c>
      <x:c r="B19" s="17" t="n">
        <x:v>1</x:v>
      </x:c>
      <x:c r="C19" s="16" t="str">
        <x:v>Default weight; Goblin задає slimeWeight явно</x:v>
      </x:c>
      <x:c r="D19" s="16" t="str">
        <x:v>lib/core/balance/progression_balance.dart:16</x:v>
      </x:c>
    </x:row>
    <x:row r="20" ht="42" customHeight="1">
      <x:c r="A20" s="15" t="str">
        <x:v>goldRewardGrowth</x:v>
      </x:c>
      <x:c r="B20" s="17" t="n">
        <x:v>1.1</x:v>
      </x:c>
      <x:c r="C20" s="15" t="str">
        <x:v>Поточний баланс</x:v>
      </x:c>
      <x:c r="D20" s="15" t="str">
        <x:v>lib/core/balance/progression_balance.dart:18</x:v>
      </x:c>
    </x:row>
    <x:row r="21" ht="42" customHeight="1">
      <x:c r="A21" s="16" t="str">
        <x:v>bookRewardGrowth</x:v>
      </x:c>
      <x:c r="B21" s="17" t="n">
        <x:v>1.1</x:v>
      </x:c>
      <x:c r="C21" s="16" t="str">
        <x:v>Поточний баланс</x:v>
      </x:c>
      <x:c r="D21" s="16" t="str">
        <x:v>lib/core/balance/progression_balance.dart:19</x:v>
      </x:c>
    </x:row>
    <x:row r="22" ht="42" customHeight="1">
      <x:c r="A22" s="15" t="str">
        <x:v>xpRewardGrowth</x:v>
      </x:c>
      <x:c r="B22" s="17" t="n">
        <x:v>1.07</x:v>
      </x:c>
      <x:c r="C22" s="15" t="str">
        <x:v>Поточний баланс</x:v>
      </x:c>
      <x:c r="D22" s="15" t="str">
        <x:v>lib/core/balance/progression_balance.dart:20</x:v>
      </x:c>
    </x:row>
    <x:row r="23" ht="42" customHeight="1">
      <x:c r="A23" s="16" t="str">
        <x:v>bookDropChance</x:v>
      </x:c>
      <x:c r="B23" s="17" t="n">
        <x:v>0.28</x:v>
      </x:c>
      <x:c r="C23" s="16" t="str">
        <x:v>Поточний баланс</x:v>
      </x:c>
      <x:c r="D23" s="16" t="str">
        <x:v>lib/core/balance/progression_balance.dart:21</x:v>
      </x:c>
    </x:row>
    <x:row r="24" ht="42" customHeight="1">
      <x:c r="A24" s="15" t="str">
        <x:v>baseBookReward</x:v>
      </x:c>
      <x:c r="B24" s="17" t="n">
        <x:v>1</x:v>
      </x:c>
      <x:c r="C24" s="15" t="str">
        <x:v>Поточний баланс</x:v>
      </x:c>
      <x:c r="D24" s="15" t="str">
        <x:v>lib/core/balance/progression_balance.dart:22</x:v>
      </x:c>
    </x:row>
    <x:row r="25" ht="42" customHeight="1">
      <x:c r="A25" s="16" t="str">
        <x:v>baseXp</x:v>
      </x:c>
      <x:c r="B25" s="17" t="n">
        <x:v>45</x:v>
      </x:c>
      <x:c r="C25" s="16" t="str">
        <x:v>Поточний баланс</x:v>
      </x:c>
      <x:c r="D25" s="16" t="str">
        <x:v>lib/core/balance/progression_balance.dart:24</x:v>
      </x:c>
    </x:row>
    <x:row r="26" ht="42" customHeight="1">
      <x:c r="A26" s="15" t="str">
        <x:v>xpGrowth</x:v>
      </x:c>
      <x:c r="B26" s="17" t="n">
        <x:v>1.12</x:v>
      </x:c>
      <x:c r="C26" s="15" t="str">
        <x:v>Поточний баланс</x:v>
      </x:c>
      <x:c r="D26" s="15" t="str">
        <x:v>lib/core/balance/progression_balance.dart:25</x:v>
      </x:c>
    </x:row>
    <x:row r="27" ht="42" customHeight="1">
      <x:c r="A27" s="16" t="str">
        <x:v>levelStatGrowth</x:v>
      </x:c>
      <x:c r="B27" s="17" t="n">
        <x:v>1.015</x:v>
      </x:c>
      <x:c r="C27" s="16" t="str">
        <x:v>Поточний баланс</x:v>
      </x:c>
      <x:c r="D27" s="16" t="str">
        <x:v>lib/core/balance/progression_balance.dart:26</x:v>
      </x:c>
    </x:row>
    <x:row r="28" ht="42" customHeight="1">
      <x:c r="A28" s="15" t="str">
        <x:v>upgradeGrowth</x:v>
      </x:c>
      <x:c r="B28" s="17" t="n">
        <x:v>1.05</x:v>
      </x:c>
      <x:c r="C28" s="15" t="str">
        <x:v>Поточний баланс</x:v>
      </x:c>
      <x:c r="D28" s="15" t="str">
        <x:v>lib/core/balance/progression_balance.dart:27</x:v>
      </x:c>
    </x:row>
    <x:row r="29" ht="42" customHeight="1">
      <x:c r="A29" s="16" t="str">
        <x:v>bookUpgradeCostGrowth</x:v>
      </x:c>
      <x:c r="B29" s="17" t="n">
        <x:v>1.1605</x:v>
      </x:c>
      <x:c r="C29" s="16" t="str">
        <x:v>Поточний баланс</x:v>
      </x:c>
      <x:c r="D29" s="16" t="str">
        <x:v>lib/core/balance/progression_balance.dart:30</x:v>
      </x:c>
    </x:row>
    <x:row r="30" ht="42" customHeight="1">
      <x:c r="A30" s="15" t="str">
        <x:v>equipmentCostGrowth</x:v>
      </x:c>
      <x:c r="B30" s="17" t="n">
        <x:v>1.1405</x:v>
      </x:c>
      <x:c r="C30" s="15" t="str">
        <x:v>Поточний баланс</x:v>
      </x:c>
      <x:c r="D30" s="15" t="str">
        <x:v>lib/core/balance/progression_balance.dart:31</x:v>
      </x:c>
    </x:row>
    <x:row r="31" ht="42" customHeight="1">
      <x:c r="A31" s="16" t="str">
        <x:v>critChanceCap</x:v>
      </x:c>
      <x:c r="B31" s="17" t="n">
        <x:v>0.8</x:v>
      </x:c>
      <x:c r="C31" s="16" t="str">
        <x:v>Поточний баланс</x:v>
      </x:c>
      <x:c r="D31" s="16" t="str">
        <x:v>lib/core/balance/progression_balance.dart:32</x:v>
      </x:c>
    </x:row>
    <x:row r="32" ht="42" customHeight="1">
      <x:c r="A32" s="15" t="str">
        <x:v>softCapRate</x:v>
      </x:c>
      <x:c r="B32" s="17" t="n">
        <x:v>0.035</x:v>
      </x:c>
      <x:c r="C32" s="15" t="str">
        <x:v>Крива існує, каталоги її не використовують</x:v>
      </x:c>
      <x:c r="D32" s="15" t="str">
        <x:v>lib/core/balance/progression_balance.dart:33</x:v>
      </x:c>
    </x:row>
    <x:row r="33" ht="42" customHeight="1">
      <x:c r="A33" s="16" t="str">
        <x:v>critChanceBonus</x:v>
      </x:c>
      <x:c r="B33" s="17" t="n">
        <x:v>0.001</x:v>
      </x:c>
      <x:c r="C33" s="16" t="str">
        <x:v>Поточний баланс</x:v>
      </x:c>
      <x:c r="D33" s="16" t="str">
        <x:v>lib/core/balance/progression_balance.dart:35</x:v>
      </x:c>
    </x:row>
    <x:row r="34" ht="42" customHeight="1">
      <x:c r="A34" s="15" t="str">
        <x:v>critDamageBonus</x:v>
      </x:c>
      <x:c r="B34" s="17" t="n">
        <x:v>0.01</x:v>
      </x:c>
      <x:c r="C34" s="15" t="str">
        <x:v>Поточний баланс</x:v>
      </x:c>
      <x:c r="D34" s="15" t="str">
        <x:v>lib/core/balance/progression_balance.dart:36</x:v>
      </x:c>
    </x:row>
    <x:row r="35" ht="42" customHeight="1">
      <x:c r="A35" s="16" t="str">
        <x:v>bookDamageCost</x:v>
      </x:c>
      <x:c r="B35" s="17" t="n">
        <x:v>1</x:v>
      </x:c>
      <x:c r="C35" s="16" t="str">
        <x:v>Поточний баланс</x:v>
      </x:c>
      <x:c r="D35" s="16" t="str">
        <x:v>lib/core/balance/progression_balance.dart:38</x:v>
      </x:c>
    </x:row>
    <x:row r="36" ht="42" customHeight="1">
      <x:c r="A36" s="15" t="str">
        <x:v>bookHpCost</x:v>
      </x:c>
      <x:c r="B36" s="17" t="n">
        <x:v>1</x:v>
      </x:c>
      <x:c r="C36" s="15" t="str">
        <x:v>Поточний баланс</x:v>
      </x:c>
      <x:c r="D36" s="15" t="str">
        <x:v>lib/core/balance/progression_balance.dart:39</x:v>
      </x:c>
    </x:row>
    <x:row r="37" ht="42" customHeight="1">
      <x:c r="A37" s="16" t="str">
        <x:v>bookCritChanceCost</x:v>
      </x:c>
      <x:c r="B37" s="17" t="n">
        <x:v>2</x:v>
      </x:c>
      <x:c r="C37" s="16" t="str">
        <x:v>Поточний баланс</x:v>
      </x:c>
      <x:c r="D37" s="16" t="str">
        <x:v>lib/core/balance/progression_balance.dart:40</x:v>
      </x:c>
    </x:row>
    <x:row r="38" ht="42" customHeight="1">
      <x:c r="A38" s="15" t="str">
        <x:v>bookCritDamageCost</x:v>
      </x:c>
      <x:c r="B38" s="17" t="n">
        <x:v>2</x:v>
      </x:c>
      <x:c r="C38" s="15" t="str">
        <x:v>Поточний баланс</x:v>
      </x:c>
      <x:c r="D38" s="15" t="str">
        <x:v>lib/core/balance/progression_balance.dart:41</x:v>
      </x:c>
    </x:row>
    <x:row r="39" ht="42" customHeight="1">
      <x:c r="A39" s="16" t="str">
        <x:v>weaponCost</x:v>
      </x:c>
      <x:c r="B39" s="17" t="n">
        <x:v>20</x:v>
      </x:c>
      <x:c r="C39" s="16" t="str">
        <x:v>Поточний баланс</x:v>
      </x:c>
      <x:c r="D39" s="16" t="str">
        <x:v>lib/core/balance/progression_balance.dart:42</x:v>
      </x:c>
    </x:row>
    <x:row r="40" ht="42" customHeight="1">
      <x:c r="A40" s="15" t="str">
        <x:v>armorCost</x:v>
      </x:c>
      <x:c r="B40" s="17" t="n">
        <x:v>20</x:v>
      </x:c>
      <x:c r="C40" s="15" t="str">
        <x:v>Поточний баланс</x:v>
      </x:c>
      <x:c r="D40" s="15" t="str">
        <x:v>lib/core/balance/progression_balance.dart:43</x:v>
      </x:c>
    </x:row>
    <x:row r="41" ht="42" customHeight="1">
      <x:c r="A41" s="16" t="str">
        <x:v>helmetCost</x:v>
      </x:c>
      <x:c r="B41" s="17" t="n">
        <x:v>35</x:v>
      </x:c>
      <x:c r="C41" s="16" t="str">
        <x:v>Поточний баланс</x:v>
      </x:c>
      <x:c r="D41" s="16" t="str">
        <x:v>lib/core/balance/progression_balance.dart:44</x:v>
      </x:c>
    </x:row>
    <x:row r="42" ht="42" customHeight="1">
      <x:c r="A42" s="15" t="str">
        <x:v>amuletCost</x:v>
      </x:c>
      <x:c r="B42" s="17" t="n">
        <x:v>30</x:v>
      </x:c>
      <x:c r="C42" s="15" t="str">
        <x:v>Поточний баланс</x:v>
      </x:c>
      <x:c r="D42" s="15" t="str">
        <x:v>lib/core/balance/progression_balance.dart:45</x:v>
      </x:c>
    </x:row>
    <x:row r="43" ht="42" customHeight="1">
      <x:c r="A43" s="16" t="str">
        <x:v>idleDpsMultipliers</x:v>
      </x:c>
      <x:c r="B43" s="17" t="str">
        <x:v>[1,1,1,1]</x:v>
      </x:c>
      <x:c r="C43" s="16" t="str">
        <x:v>Поточний баланс</x:v>
      </x:c>
      <x:c r="D43" s="16" t="str">
        <x:v>lib/core/balance/progression_balance.dart:47</x:v>
      </x:c>
    </x:row>
    <x:row r="44" ht="42" customHeight="1">
      <x:c r="A44" s="15" t="str">
        <x:v>idleRewardMultipliers</x:v>
      </x:c>
      <x:c r="B44" s="17" t="str">
        <x:v>[1,1,1,1]</x:v>
      </x:c>
      <x:c r="C44" s="15" t="str">
        <x:v>Поточний баланс</x:v>
      </x:c>
      <x:c r="D44" s="15" t="str">
        <x:v>lib/core/balance/progression_balance.dart:48</x:v>
      </x:c>
    </x:row>
    <x:row r="45" ht="42" customHeight="1">
      <x:c r="A45" s="16" t="str">
        <x:v>slimeHp</x:v>
      </x:c>
      <x:c r="B45" s="17" t="n">
        <x:v>48</x:v>
      </x:c>
      <x:c r="C45" s="16" t="str">
        <x:v>База активного Goblin; окремого Slime немає</x:v>
      </x:c>
      <x:c r="D45" s="16" t="str">
        <x:v>lib/core/balance/progression_balance.dart:50</x:v>
      </x:c>
    </x:row>
    <x:row r="46" ht="42" customHeight="1">
      <x:c r="A46" s="15" t="str">
        <x:v>slimeDamage</x:v>
      </x:c>
      <x:c r="B46" s="17" t="n">
        <x:v>6</x:v>
      </x:c>
      <x:c r="C46" s="15" t="str">
        <x:v>База активного Goblin; окремого Slime немає</x:v>
      </x:c>
      <x:c r="D46" s="15" t="str">
        <x:v>lib/core/balance/progression_balance.dart:51</x:v>
      </x:c>
    </x:row>
    <x:row r="47" ht="42" customHeight="1">
      <x:c r="A47" s="16" t="str">
        <x:v>slimeAttackSpeed</x:v>
      </x:c>
      <x:c r="B47" s="17" t="n">
        <x:v>0.75</x:v>
      </x:c>
      <x:c r="C47" s="16" t="str">
        <x:v>База активного Goblin; окремого Slime немає</x:v>
      </x:c>
      <x:c r="D47" s="16" t="str">
        <x:v>lib/core/balance/progression_balance.dart:52</x:v>
      </x:c>
    </x:row>
    <x:row r="48" ht="42" customHeight="1">
      <x:c r="A48" s="15" t="str">
        <x:v>slimeGold</x:v>
      </x:c>
      <x:c r="B48" s="17" t="n">
        <x:v>12</x:v>
      </x:c>
      <x:c r="C48" s="15" t="str">
        <x:v>База активного Goblin; окремого Slime немає</x:v>
      </x:c>
      <x:c r="D48" s="15" t="str">
        <x:v>lib/core/balance/progression_balance.dart:53</x:v>
      </x:c>
    </x:row>
    <x:row r="49" ht="42" customHeight="1">
      <x:c r="A49" s="16" t="str">
        <x:v>slimeXp</x:v>
      </x:c>
      <x:c r="B49" s="17" t="n">
        <x:v>18</x:v>
      </x:c>
      <x:c r="C49" s="16" t="str">
        <x:v>База активного Goblin; окремого Slime немає</x:v>
      </x:c>
      <x:c r="D49" s="16" t="str">
        <x:v>lib/core/balance/progression_balance.dart:54</x:v>
      </x:c>
    </x:row>
    <x:row r="50" ht="42" customHeight="1">
      <x:c r="A50" s="15" t="str">
        <x:v>slimeWeight</x:v>
      </x:c>
      <x:c r="B50" s="17" t="n">
        <x:v>1</x:v>
      </x:c>
      <x:c r="C50" s="15" t="str">
        <x:v>База активного Goblin; окремого Slime немає</x:v>
      </x:c>
      <x:c r="D50" s="15" t="str">
        <x:v>lib/core/balance/progression_balance.dart:55</x:v>
      </x:c>
    </x:row>
    <x:row r="51" ht="42" customHeight="1">
      <x:c r="A51" s="16" t="str">
        <x:v>sentinelHp</x:v>
      </x:c>
      <x:c r="B51" s="17" t="n">
        <x:v>80</x:v>
      </x:c>
      <x:c r="C51" s="16" t="str">
        <x:v>Ворог не підключений</x:v>
      </x:c>
      <x:c r="D51" s="16" t="str">
        <x:v>lib/core/balance/progression_balance.dart:57</x:v>
      </x:c>
    </x:row>
    <x:row r="52" ht="42" customHeight="1">
      <x:c r="A52" s="15" t="str">
        <x:v>sentinelDamage</x:v>
      </x:c>
      <x:c r="B52" s="17" t="n">
        <x:v>9</x:v>
      </x:c>
      <x:c r="C52" s="15" t="str">
        <x:v>Ворог не підключений</x:v>
      </x:c>
      <x:c r="D52" s="15" t="str">
        <x:v>lib/core/balance/progression_balance.dart:58</x:v>
      </x:c>
    </x:row>
    <x:row r="53" ht="42" customHeight="1">
      <x:c r="A53" s="16" t="str">
        <x:v>sentinelAttackSpeed</x:v>
      </x:c>
      <x:c r="B53" s="17" t="n">
        <x:v>0.55</x:v>
      </x:c>
      <x:c r="C53" s="16" t="str">
        <x:v>Ворог не підключений</x:v>
      </x:c>
      <x:c r="D53" s="16" t="str">
        <x:v>lib/core/balance/progression_balance.dart:59</x:v>
      </x:c>
    </x:row>
    <x:row r="54" ht="42" customHeight="1">
      <x:c r="A54" s="15" t="str">
        <x:v>sentinelGold</x:v>
      </x:c>
      <x:c r="B54" s="17" t="n">
        <x:v>20</x:v>
      </x:c>
      <x:c r="C54" s="15" t="str">
        <x:v>Ворог не підключений</x:v>
      </x:c>
      <x:c r="D54" s="15" t="str">
        <x:v>lib/core/balance/progression_balance.dart:60</x:v>
      </x:c>
    </x:row>
    <x:row r="55" ht="42" customHeight="1">
      <x:c r="A55" s="16" t="str">
        <x:v>sentinelXp</x:v>
      </x:c>
      <x:c r="B55" s="17" t="n">
        <x:v>28</x:v>
      </x:c>
      <x:c r="C55" s="16" t="str">
        <x:v>Ворог не підключений</x:v>
      </x:c>
      <x:c r="D55" s="16" t="str">
        <x:v>lib/core/balance/progression_balance.dart:61</x:v>
      </x:c>
    </x:row>
    <x:row r="56" ht="42" customHeight="1">
      <x:c r="A56" s="15" t="str">
        <x:v>sentinelWeight</x:v>
      </x:c>
      <x:c r="B56" s="17" t="n">
        <x:v>0.5</x:v>
      </x:c>
      <x:c r="C56" s="15" t="str">
        <x:v>Ворог не підключений</x:v>
      </x:c>
      <x:c r="D56" s="15" t="str">
        <x:v>lib/core/balance/progression_balance.dart:62</x:v>
      </x:c>
    </x:row>
    <x:row r="57" ht="42" customHeight="1">
      <x:c r="A57" s="16" t="str">
        <x:v>wispHp</x:v>
      </x:c>
      <x:c r="B57" s="17" t="n">
        <x:v>34</x:v>
      </x:c>
      <x:c r="C57" s="16" t="str">
        <x:v>Ворог не підключений</x:v>
      </x:c>
      <x:c r="D57" s="16" t="str">
        <x:v>lib/core/balance/progression_balance.dart:64</x:v>
      </x:c>
    </x:row>
    <x:row r="58" ht="42" customHeight="1">
      <x:c r="A58" s="15" t="str">
        <x:v>wispDamage</x:v>
      </x:c>
      <x:c r="B58" s="17" t="n">
        <x:v>5</x:v>
      </x:c>
      <x:c r="C58" s="15" t="str">
        <x:v>Ворог не підключений</x:v>
      </x:c>
      <x:c r="D58" s="15" t="str">
        <x:v>lib/core/balance/progression_balance.dart:65</x:v>
      </x:c>
    </x:row>
    <x:row r="59" ht="42" customHeight="1">
      <x:c r="A59" s="16" t="str">
        <x:v>wispAttackSpeed</x:v>
      </x:c>
      <x:c r="B59" s="17" t="n">
        <x:v>1.2</x:v>
      </x:c>
      <x:c r="C59" s="16" t="str">
        <x:v>Ворог не підключений</x:v>
      </x:c>
      <x:c r="D59" s="16" t="str">
        <x:v>lib/core/balance/progression_balance.dart:66</x:v>
      </x:c>
    </x:row>
    <x:row r="60" ht="42" customHeight="1">
      <x:c r="A60" s="15" t="str">
        <x:v>wispGold</x:v>
      </x:c>
      <x:c r="B60" s="17" t="n">
        <x:v>14</x:v>
      </x:c>
      <x:c r="C60" s="15" t="str">
        <x:v>Ворог не підключений</x:v>
      </x:c>
      <x:c r="D60" s="15" t="str">
        <x:v>lib/core/balance/progression_balance.dart:67</x:v>
      </x:c>
    </x:row>
    <x:row r="61" ht="42" customHeight="1">
      <x:c r="A61" s="16" t="str">
        <x:v>wispXp</x:v>
      </x:c>
      <x:c r="B61" s="17" t="n">
        <x:v>20</x:v>
      </x:c>
      <x:c r="C61" s="16" t="str">
        <x:v>Ворог не підключений</x:v>
      </x:c>
      <x:c r="D61" s="16" t="str">
        <x:v>lib/core/balance/progression_balance.dart:68</x:v>
      </x:c>
    </x:row>
    <x:row r="62" ht="42" customHeight="1">
      <x:c r="A62" s="15" t="str">
        <x:v>wispWeight</x:v>
      </x:c>
      <x:c r="B62" s="17" t="n">
        <x:v>0.8</x:v>
      </x:c>
      <x:c r="C62" s="15" t="str">
        <x:v>Ворог не підключений</x:v>
      </x:c>
      <x:c r="D62" s="15" t="str">
        <x:v>lib/core/balance/progression_balance.dart:69</x:v>
      </x:c>
    </x:row>
    <x:row r="65" ht="25" customHeight="1">
      <x:c r="A65" s="7" t="str">
        <x:v>SHA-256 джерел на час розрахунку</x:v>
      </x:c>
      <x:c r="B65" s="7"/>
    </x:row>
    <x:row r="67" ht="42" customHeight="1">
      <x:c r="A67" s="13" t="str">
        <x:v>Файл</x:v>
      </x:c>
      <x:c r="B67" s="13" t="str">
        <x:v>SHA-256</x:v>
      </x:c>
    </x:row>
    <x:row r="68" ht="40" customHeight="1">
      <x:c r="A68" s="15" t="str">
        <x:v>lib/core/balance/progression_balance.dart</x:v>
      </x:c>
      <x:c r="B68" s="15" t="str">
        <x:v>e6b0e1d38e10fc4072f790ed5d4bcb7be7b4e606fabfef60aee8bc23f5574b35</x:v>
      </x:c>
    </x:row>
    <x:row r="69" ht="40" customHeight="1">
      <x:c r="A69" s="16" t="str">
        <x:v>lib/core/balance/game_balance.dart</x:v>
      </x:c>
      <x:c r="B69" s="16" t="str">
        <x:v>da1d763d674ecb32ed30b1150a60fdfe6b9446377ff82639338d7d25072c93e1</x:v>
      </x:c>
    </x:row>
    <x:row r="70" ht="40" customHeight="1">
      <x:c r="A70" s="15" t="str">
        <x:v>lib/domain/character/character.dart</x:v>
      </x:c>
      <x:c r="B70" s="15" t="str">
        <x:v>0b520e68e2bec0e61dfa22cdbf484c5ab691f656eafcd98b289360d5018c105c</x:v>
      </x:c>
    </x:row>
    <x:row r="71" ht="40" customHeight="1">
      <x:c r="A71" s="16" t="str">
        <x:v>lib/domain/progression/infinite_upgrade.dart</x:v>
      </x:c>
      <x:c r="B71" s="16" t="str">
        <x:v>fbe1e3368870f546816e4bf43a166e4c0af9ed46624b30d8ac1da1948738b432</x:v>
      </x:c>
    </x:row>
    <x:row r="72" ht="40" customHeight="1">
      <x:c r="A72" s="15" t="str">
        <x:v>lib/domain/progression/stat_effect.dart</x:v>
      </x:c>
      <x:c r="B72" s="15" t="str">
        <x:v>a355ec2a81796ef0034c0c390e4ed6055b061b97e61feb465ee6d71126b924c5</x:v>
      </x:c>
    </x:row>
    <x:row r="73" ht="40" customHeight="1">
      <x:c r="A73" s="16" t="str">
        <x:v>lib/domain/equipment/equipment.dart</x:v>
      </x:c>
      <x:c r="B73" s="16" t="str">
        <x:v>84fa18057b845631ad53f497f483a05912f84d90ec4d36c96e8bd11b4ff798c2</x:v>
      </x:c>
    </x:row>
    <x:row r="74" ht="40" customHeight="1">
      <x:c r="A74" s="15" t="str">
        <x:v>lib/game/systems/enemy_spawner.dart</x:v>
      </x:c>
      <x:c r="B74" s="15" t="str">
        <x:v>d82cdeeeca08fddc8f8f101ee79571258b870bf7117f2be5ca5b7099d2811dd1</x:v>
      </x:c>
    </x:row>
    <x:row r="75" ht="40" customHeight="1">
      <x:c r="A75" s="16" t="str">
        <x:v>lib/game/systems/drop_system.dart</x:v>
      </x:c>
      <x:c r="B75" s="16" t="str">
        <x:v>a2f23d8b1d75f8ba25eef1bb130401199de31b687d3d0d74def3c4ff3a03f91f</x:v>
      </x:c>
    </x:row>
    <x:row r="76" ht="40" customHeight="1">
      <x:c r="A76" s="15" t="str">
        <x:v>lib/game/systems/progression_system.dart</x:v>
      </x:c>
      <x:c r="B76" s="15" t="str">
        <x:v>abb26f94606e350dcd8f096ec32eb377e3803877ff3422aac2b9799ff0799be4</x:v>
      </x:c>
    </x:row>
    <x:row r="77" ht="40" customHeight="1">
      <x:c r="A77" s="16" t="str">
        <x:v>lib/game/systems/combat_system.dart</x:v>
      </x:c>
      <x:c r="B77" s="16" t="str">
        <x:v>b3e5aaadcbd2961d5db198b790a66fc016e7a613fc5f738cbb3a339fb5b33eaf</x:v>
      </x:c>
    </x:row>
    <x:row r="78" ht="40" customHeight="1">
      <x:c r="A78" s="15" t="str">
        <x:v>lib/game/systems/game_simulation.dart</x:v>
      </x:c>
      <x:c r="B78" s="15" t="str">
        <x:v>d12cc480a153a27481f340a8effa5b65808406e8ffe5148c331e804177c784bf</x:v>
      </x:c>
    </x:row>
    <x:row r="79" ht="40" customHeight="1">
      <x:c r="A79" s="16" t="str">
        <x:v>lib/core/animation/attack_playback.dart</x:v>
      </x:c>
      <x:c r="B79" s="16" t="str">
        <x:v>16a17044d50bd4998b90efe7e6b07d1400d2168e9d49dbfb9a2a967ec24679f5</x:v>
      </x:c>
    </x:row>
    <x:row r="80" ht="40" customHeight="1">
      <x:c r="A80" s="15" t="str">
        <x:v>lib/domain/activity/rest_coordinator.dart</x:v>
      </x:c>
      <x:c r="B80" s="15" t="str">
        <x:v>f3a89a1d86a0c806ae8c4ab6e6805bc93de89388839b03abfe46406ff288529a</x:v>
      </x:c>
    </x:row>
    <x:row r="81" ht="40" customHeight="1">
      <x:c r="A81" s="16" t="str">
        <x:v>lib/domain/activity/rest_policy.dart</x:v>
      </x:c>
      <x:c r="B81" s="16" t="str">
        <x:v>0a29da154e2881ff0989afd758ef6c47c3d6ba550f7d9f2fd93ec5d95a05e124</x:v>
      </x:c>
    </x:row>
    <x:row r="82" ht="40" customHeight="1">
      <x:c r="A82" s="15" t="str">
        <x:v>lib/content/animations/hero/rest_graphs.dart</x:v>
      </x:c>
      <x:c r="B82" s="15" t="str">
        <x:v>d84c0d340765c61a472f36de6e74b20ac0146a80eabc1ede058e52d88d3bf38a</x:v>
      </x:c>
    </x:row>
    <x:row r="83" ht="40" customHeight="1">
      <x:c r="A83" s="16" t="str">
        <x:v>lib/content/animations/hero/variants.dart</x:v>
      </x:c>
      <x:c r="B83" s="16" t="str">
        <x:v>11e9e8738be9b67e10827700a2ab9b863ad40c8484ea9b63f651011ff12d17e6</x:v>
      </x:c>
    </x:row>
    <x:row r="84" ht="40" customHeight="1">
      <x:c r="A84" s="15" t="str">
        <x:v>lib/content/animations/hero/clips.dart</x:v>
      </x:c>
      <x:c r="B84" s="15" t="str">
        <x:v>9f857b3dad9ceb279b28639cf5b3047a4bedcb0a9bea04058fde49517e8d7477</x:v>
      </x:c>
    </x:row>
    <x:row r="85" ht="40" customHeight="1">
      <x:c r="A85" s="16" t="str">
        <x:v>lib/content/animations/enemies/goblin_clips.dart</x:v>
      </x:c>
      <x:c r="B85" s="16" t="str">
        <x:v>f2f591612c66d7a60bd77263f5b4c3b35d79ce3e2a5b4647aa497636daaf0ca4</x:v>
      </x:c>
    </x:row>
    <x:row r="86" ht="40" customHeight="1">
      <x:c r="A86" s="15" t="str">
        <x:v>lib/app/game_controller.dart</x:v>
      </x:c>
      <x:c r="B86" s="15" t="str">
        <x:v>330eeb31c2edbec82e3130491d5ec1d3d47597fd32d7aac5539162b69ebef482</x:v>
      </x:c>
    </x:row>
    <x:row r="87" ht="40" customHeight="1">
      <x:c r="A87" s="16" t="str">
        <x:v>tool/simulate_progression.dart</x:v>
      </x:c>
      <x:c r="B87" s="16" t="str">
        <x:v>7372806aec35c63ccdfc6de563d8b4a594a2dd4dd3f523966e0f33359303ed60</x:v>
      </x:c>
    </x:row>
    <x:row r="88" ht="40" customHeight="1">
      <x:c r="A88" s="15" t="str">
        <x:v>tool/balance_audit.dart</x:v>
      </x:c>
      <x:c r="B88" s="15" t="str">
        <x:v>96f12d92a9509267c3596d7fca5e5ea3b5e7d91bebf4e475d999c30b22e2c3a3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8" customHeight="1">
      <x:c r="A2" s="3" t="str">
        <x:v>Усі 160 прогонів</x:v>
      </x:c>
      <x:c r="B2" s="4"/>
      <x:c r="C2" s="4"/>
      <x:c r="D2" s="4"/>
      <x:c r="E2" s="4"/>
      <x:c r="F2" s="4"/>
      <x:c r="G2" s="4"/>
      <x:c r="H2" s="4"/>
      <x:c r="I2" s="4"/>
    </x:row>
    <x:row r="3" ht="24" customHeight="1">
      <x:c r="A3" s="5" t="str">
        <x:v>20 seed × 4 checkpoints × 2 стратегії. Значення моделі; fixed ×1 speed, без offline/rest.</x:v>
      </x:c>
      <x:c r="B3" s="1"/>
      <x:c r="C3" s="1"/>
      <x:c r="D3" s="1"/>
      <x:c r="E3" s="1"/>
      <x:c r="F3" s="1"/>
      <x:c r="G3" s="1"/>
      <x:c r="H3" s="1"/>
      <x:c r="I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25" customHeight="1">
      <x:c r="A5" s="7" t="str">
        <x:v>Результати event simulation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  <x:c r="AJ5" s="7"/>
      <x:c r="AK5" s="7"/>
      <x:c r="AL5" s="7"/>
      <x:c r="AM5" s="7"/>
      <x:c r="AN5" s="7"/>
      <x:c r="AO5" s="7"/>
      <x:c r="AP5" s="7"/>
      <x:c r="AQ5" s="7"/>
      <x:c r="AR5" s="7"/>
      <x:c r="AS5" s="7"/>
      <x:c r="AT5" s="7"/>
    </x:row>
    <x:row r="7" ht="58" customHeight="1">
      <x:c r="A7" s="13" t="str">
        <x:v>Сценарій</x:v>
      </x:c>
      <x:c r="B7" s="13" t="str">
        <x:v>Seed</x:v>
      </x:c>
      <x:c r="C7" s="13" t="str">
        <x:v>День</x:v>
      </x:c>
      <x:c r="D7" s="13" t="str">
        <x:v>Stage</x:v>
      </x:c>
      <x:c r="E7" s="13" t="str">
        <x:v>Найвищий Stage</x:v>
      </x:c>
      <x:c r="F7" s="13" t="str">
        <x:v>Character Level</x:v>
      </x:c>
      <x:c r="G7" s="13" t="str">
        <x:v>Перемоги</x:v>
      </x:c>
      <x:c r="H7" s="13" t="str">
        <x:v>Смерті</x:v>
      </x:c>
      <x:c r="I7" s="13" t="str">
        <x:v>Новий етап, с</x:v>
      </x:c>
      <x:c r="J7" s="13" t="str">
        <x:v>Бій/kill, с</x:v>
      </x:c>
      <x:c r="K7" s="13" t="str">
        <x:v>weapon</x:v>
      </x:c>
      <x:c r="L7" s="13" t="str">
        <x:v>bookDamage</x:v>
      </x:c>
      <x:c r="M7" s="13" t="str">
        <x:v>Активні години</x:v>
      </x:c>
      <x:c r="N7" s="13" t="str">
        <x:v>Хвиля</x:v>
      </x:c>
      <x:c r="O7" s="13" t="str">
        <x:v>Max HP</x:v>
      </x:c>
      <x:c r="P7" s="13" t="str">
        <x:v>Current HP</x:v>
      </x:c>
      <x:c r="Q7" s="13" t="str">
        <x:v>Damage</x:v>
      </x:c>
      <x:c r="R7" s="13" t="str">
        <x:v>Очікуваний DPS</x:v>
      </x:c>
      <x:c r="S7" s="13" t="str">
        <x:v>Crit chance</x:v>
      </x:c>
      <x:c r="T7" s="13" t="str">
        <x:v>Crit multiplier</x:v>
      </x:c>
      <x:c r="U7" s="13" t="str">
        <x:v>xpRemaining</x:v>
      </x:c>
      <x:c r="V7" s="13" t="str">
        <x:v>xpRequired</x:v>
      </x:c>
      <x:c r="W7" s="13" t="str">
        <x:v>xpEarned</x:v>
      </x:c>
      <x:c r="X7" s="13" t="str">
        <x:v>Gold залишок</x:v>
      </x:c>
      <x:c r="Y7" s="13" t="str">
        <x:v>Books залишок</x:v>
      </x:c>
      <x:c r="Z7" s="13" t="str">
        <x:v>Gold витрачено</x:v>
      </x:c>
      <x:c r="AA7" s="13" t="str">
        <x:v>Books витрачено</x:v>
      </x:c>
      <x:c r="AB7" s="13" t="str">
        <x:v>Gold зароблено</x:v>
      </x:c>
      <x:c r="AC7" s="13" t="str">
        <x:v>Books зароблено</x:v>
      </x:c>
      <x:c r="AD7" s="13" t="str">
        <x:v>equipment_weapon</x:v>
      </x:c>
      <x:c r="AE7" s="13" t="str">
        <x:v>equipment_armor</x:v>
      </x:c>
      <x:c r="AF7" s="13" t="str">
        <x:v>equipment_helmet</x:v>
      </x:c>
      <x:c r="AG7" s="13" t="str">
        <x:v>equipment_amulet</x:v>
      </x:c>
      <x:c r="AH7" s="13" t="str">
        <x:v>upgrade_damage</x:v>
      </x:c>
      <x:c r="AI7" s="13" t="str">
        <x:v>upgrade_hp</x:v>
      </x:c>
      <x:c r="AJ7" s="13" t="str">
        <x:v>upgrade_crit</x:v>
      </x:c>
      <x:c r="AK7" s="13" t="str">
        <x:v>upgrade_critDamage</x:v>
      </x:c>
      <x:c r="AL7" s="13" t="str">
        <x:v>enemyHp</x:v>
      </x:c>
      <x:c r="AM7" s="13" t="str">
        <x:v>enemyDamage</x:v>
      </x:c>
      <x:c r="AN7" s="13" t="str">
        <x:v>enemyGold</x:v>
      </x:c>
      <x:c r="AO7" s="13" t="str">
        <x:v>enemyBookDrop</x:v>
      </x:c>
      <x:c r="AP7" s="13" t="str">
        <x:v>enemyXp</x:v>
      </x:c>
      <x:c r="AQ7" s="13" t="str">
        <x:v>Kills остання година</x:v>
      </x:c>
      <x:c r="AR7" s="13" t="str">
        <x:v>Deaths остання година</x:v>
      </x:c>
      <x:c r="AS7" s="13" t="str">
        <x:v>Net Stage остання година</x:v>
      </x:c>
      <x:c r="AT7" s="13" t="str">
        <x:v>Нові max Stage остання година</x:v>
      </x:c>
    </x:row>
    <x:row r="8" ht="25" customHeight="1">
      <x:c r="A8" s="18" t="str">
        <x:v>hourly_balanced</x:v>
      </x:c>
      <x:c r="B8" s="18" t="n">
        <x:v>1</x:v>
      </x:c>
      <x:c r="C8" s="18" t="n">
        <x:v>1</x:v>
      </x:c>
      <x:c r="D8" s="18" t="n">
        <x:v>216</x:v>
      </x:c>
      <x:c r="E8" s="18" t="n">
        <x:v>216</x:v>
      </x:c>
      <x:c r="F8" s="18" t="n">
        <x:v>143</x:v>
      </x:c>
      <x:c r="G8" s="18" t="n">
        <x:v>1911</x:v>
      </x:c>
      <x:c r="H8" s="18" t="n">
        <x:v>122</x:v>
      </x:c>
      <x:c r="I8" s="20" t="n">
        <x:v>85.1390941134996</x:v>
      </x:c>
      <x:c r="J8" s="20" t="n">
        <x:v>5.35</x:v>
      </x:c>
      <x:c r="K8" s="18" t="n">
        <x:v>138</x:v>
      </x:c>
      <x:c r="L8" s="18" t="n">
        <x:v>117</x:v>
      </x:c>
      <x:c r="M8" s="18" t="n">
        <x:v>8</x:v>
      </x:c>
      <x:c r="N8" s="18" t="n">
        <x:v>2</x:v>
      </x:c>
      <x:c r="O8" s="22" t="n">
        <x:v>251553583.4051294</x:v>
      </x:c>
      <x:c r="P8" s="22" t="n">
        <x:v>19618174.21934252</x:v>
      </x:c>
      <x:c r="Q8" s="22" t="n">
        <x:v>29347918.063931752</x:v>
      </x:c>
      <x:c r="R8" s="22" t="n">
        <x:v>52520153.72967031</x:v>
      </x:c>
      <x:c r="S8" s="24" t="n">
        <x:v>0.28300000000000003</x:v>
      </x:c>
      <x:c r="T8" s="20" t="n">
        <x:v>3.79</x:v>
      </x:c>
      <x:c r="U8" s="22" t="n">
        <x:v>205205114.51665077</x:v>
      </x:c>
      <x:c r="V8" s="22" t="n">
        <x:v>438704140.13160723</x:v>
      </x:c>
      <x:c r="W8" s="22" t="n">
        <x:v>3861072573.946703</x:v>
      </x:c>
      <x:c r="X8" s="22" t="n">
        <x:v>691192094233.8939</x:v>
      </x:c>
      <x:c r="Y8" s="22" t="n">
        <x:v>16217750474.720558</x:v>
      </x:c>
      <x:c r="Z8" s="22" t="n">
        <x:v>28921966270.92501</x:v>
      </x:c>
      <x:c r="AA8" s="22" t="n">
        <x:v>610643325.7479904</x:v>
      </x:c>
      <x:c r="AB8" s="22" t="n">
        <x:v>720114060504.8191</x:v>
      </x:c>
      <x:c r="AC8" s="22" t="n">
        <x:v>16828393800.468582</x:v>
      </x:c>
      <x:c r="AD8" s="18" t="n">
        <x:v>138</x:v>
      </x:c>
      <x:c r="AE8" s="18" t="n">
        <x:v>138</x:v>
      </x:c>
      <x:c r="AF8" s="18" t="n">
        <x:v>127</x:v>
      </x:c>
      <x:c r="AG8" s="18" t="n">
        <x:v>125</x:v>
      </x:c>
      <x:c r="AH8" s="18" t="n">
        <x:v>117</x:v>
      </x:c>
      <x:c r="AI8" s="18" t="n">
        <x:v>117</x:v>
      </x:c>
      <x:c r="AJ8" s="18" t="n">
        <x:v>106</x:v>
      </x:c>
      <x:c r="AK8" s="18" t="n">
        <x:v>104</x:v>
      </x:c>
      <x:c r="AL8" s="22" t="n">
        <x:v>736798388.0823894</x:v>
      </x:c>
      <x:c r="AM8" s="22" t="n">
        <x:v>4553202.0420804145</x:v>
      </x:c>
      <x:c r="AN8" s="22" t="n">
        <x:v>9519377621.482164</x:v>
      </x:c>
      <x:c r="AO8" s="22" t="n">
        <x:v>793281468.4568466</x:v>
      </x:c>
      <x:c r="AP8" s="22" t="n">
        <x:v>37392517.65863995</x:v>
      </x:c>
      <x:c r="AQ8" s="18" t="n">
        <x:v>221</x:v>
      </x:c>
      <x:c r="AR8" s="18" t="n">
        <x:v>6</x:v>
      </x:c>
      <x:c r="AS8" s="18" t="n">
        <x:v>37</x:v>
      </x:c>
      <x:c r="AT8" s="18" t="n">
        <x:v>36</x:v>
      </x:c>
    </x:row>
    <x:row r="9" ht="25" customHeight="1">
      <x:c r="A9" s="19" t="str">
        <x:v>hourly_balanced</x:v>
      </x:c>
      <x:c r="B9" s="19" t="n">
        <x:v>2</x:v>
      </x:c>
      <x:c r="C9" s="19" t="n">
        <x:v>1</x:v>
      </x:c>
      <x:c r="D9" s="19" t="n">
        <x:v>217</x:v>
      </x:c>
      <x:c r="E9" s="19" t="n">
        <x:v>217</x:v>
      </x:c>
      <x:c r="F9" s="19" t="n">
        <x:v>144</x:v>
      </x:c>
      <x:c r="G9" s="19" t="n">
        <x:v>1888</x:v>
      </x:c>
      <x:c r="H9" s="19" t="n">
        <x:v>124</x:v>
      </x:c>
      <x:c r="I9" s="21" t="n">
        <x:v>83.44942122916291</x:v>
      </x:c>
      <x:c r="J9" s="21" t="n">
        <x:v>5.35</x:v>
      </x:c>
      <x:c r="K9" s="19" t="n">
        <x:v>139</x:v>
      </x:c>
      <x:c r="L9" s="19" t="n">
        <x:v>118</x:v>
      </x:c>
      <x:c r="M9" s="19" t="n">
        <x:v>8</x:v>
      </x:c>
      <x:c r="N9" s="19" t="n">
        <x:v>4</x:v>
      </x:c>
      <x:c r="O9" s="23" t="n">
        <x:v>281497893.08971745</x:v>
      </x:c>
      <x:c r="P9" s="23" t="n">
        <x:v>121475607.32080072</x:v>
      </x:c>
      <x:c r="Q9" s="23" t="n">
        <x:v>32841420.860467028</x:v>
      </x:c>
      <x:c r="R9" s="23" t="n">
        <x:v>59142472.75657207</x:v>
      </x:c>
      <x:c r="S9" s="25" t="n">
        <x:v>0.28500000000000003</x:v>
      </x:c>
      <x:c r="T9" s="21" t="n">
        <x:v>3.81</x:v>
      </x:c>
      <x:c r="U9" s="23" t="n">
        <x:v>96178284.21243322</x:v>
      </x:c>
      <x:c r="V9" s="23" t="n">
        <x:v>491348636.94740045</x:v>
      </x:c>
      <x:c r="W9" s="23" t="n">
        <x:v>4190749883.7740865</x:v>
      </x:c>
      <x:c r="X9" s="23" t="n">
        <x:v>783435927860.0768</x:v>
      </x:c>
      <x:c r="Y9" s="23" t="n">
        <x:v>16572824365.329638</x:v>
      </x:c>
      <x:c r="Z9" s="23" t="n">
        <x:v>32985502636.990044</x:v>
      </x:c>
      <x:c r="AA9" s="23" t="n">
        <x:v>708651585.5305448</x:v>
      </x:c>
      <x:c r="AB9" s="23" t="n">
        <x:v>816421430497.0664</x:v>
      </x:c>
      <x:c r="AC9" s="23" t="n">
        <x:v>17281475950.860218</x:v>
      </x:c>
      <x:c r="AD9" s="19" t="n">
        <x:v>139</x:v>
      </x:c>
      <x:c r="AE9" s="19" t="n">
        <x:v>139</x:v>
      </x:c>
      <x:c r="AF9" s="19" t="n">
        <x:v>128</x:v>
      </x:c>
      <x:c r="AG9" s="19" t="n">
        <x:v>126</x:v>
      </x:c>
      <x:c r="AH9" s="19" t="n">
        <x:v>118</x:v>
      </x:c>
      <x:c r="AI9" s="19" t="n">
        <x:v>118</x:v>
      </x:c>
      <x:c r="AJ9" s="19" t="n">
        <x:v>107</x:v>
      </x:c>
      <x:c r="AK9" s="19" t="n">
        <x:v>105</x:v>
      </x:c>
      <x:c r="AL9" s="23" t="n">
        <x:v>795742259.1289816</x:v>
      </x:c>
      <x:c r="AM9" s="23" t="n">
        <x:v>4849160.1748156445</x:v>
      </x:c>
      <x:c r="AN9" s="23" t="n">
        <x:v>10471315383.63039</x:v>
      </x:c>
      <x:c r="AO9" s="23" t="n">
        <x:v>872609615.3025318</x:v>
      </x:c>
      <x:c r="AP9" s="23" t="n">
        <x:v>40009993.894744754</x:v>
      </x:c>
      <x:c r="AQ9" s="19" t="n">
        <x:v>218</x:v>
      </x:c>
      <x:c r="AR9" s="19" t="n">
        <x:v>5</x:v>
      </x:c>
      <x:c r="AS9" s="19" t="n">
        <x:v>37</x:v>
      </x:c>
      <x:c r="AT9" s="19" t="n">
        <x:v>36</x:v>
      </x:c>
    </x:row>
    <x:row r="10" ht="25" customHeight="1">
      <x:c r="A10" s="18" t="str">
        <x:v>hourly_balanced</x:v>
      </x:c>
      <x:c r="B10" s="18" t="n">
        <x:v>3</x:v>
      </x:c>
      <x:c r="C10" s="18" t="n">
        <x:v>1</x:v>
      </x:c>
      <x:c r="D10" s="18" t="n">
        <x:v>219</x:v>
      </x:c>
      <x:c r="E10" s="18" t="n">
        <x:v>219</x:v>
      </x:c>
      <x:c r="F10" s="18" t="n">
        <x:v>145</x:v>
      </x:c>
      <x:c r="G10" s="18" t="n">
        <x:v>1888</x:v>
      </x:c>
      <x:c r="H10" s="18" t="n">
        <x:v>123</x:v>
      </x:c>
      <x:c r="I10" s="20" t="n">
        <x:v>83.51583311567992</x:v>
      </x:c>
      <x:c r="J10" s="20" t="n">
        <x:v>6.35</x:v>
      </x:c>
      <x:c r="K10" s="18" t="n">
        <x:v>140</x:v>
      </x:c>
      <x:c r="L10" s="18" t="n">
        <x:v>119</x:v>
      </x:c>
      <x:c r="M10" s="18" t="n">
        <x:v>8</x:v>
      </x:c>
      <x:c r="N10" s="18" t="n">
        <x:v>1</x:v>
      </x:c>
      <x:c r="O10" s="22" t="n">
        <x:v>315006698.5383834</x:v>
      </x:c>
      <x:c r="P10" s="22" t="n">
        <x:v>75742104.2307245</x:v>
      </x:c>
      <x:c r="Q10" s="22" t="n">
        <x:v>36750781.49614472</x:v>
      </x:c>
      <x:c r="R10" s="22" t="n">
        <x:v>66494658.99223454</x:v>
      </x:c>
      <x:c r="S10" s="24" t="n">
        <x:v>0.28700000000000003</x:v>
      </x:c>
      <x:c r="T10" s="20" t="n">
        <x:v>3.8200000000000003</x:v>
      </x:c>
      <x:c r="U10" s="22" t="n">
        <x:v>172196111.3527629</x:v>
      </x:c>
      <x:c r="V10" s="22" t="n">
        <x:v>550310473.381089</x:v>
      </x:c>
      <x:c r="W10" s="22" t="n">
        <x:v>4758116347.861831</x:v>
      </x:c>
      <x:c r="X10" s="22" t="n">
        <x:v>933275327565.4688</x:v>
      </x:c>
      <x:c r="Y10" s="22" t="n">
        <x:v>21477739045.820457</x:v>
      </x:c>
      <x:c r="Z10" s="22" t="n">
        <x:v>37619965862.48708</x:v>
      </x:c>
      <x:c r="AA10" s="22" t="n">
        <x:v>810122271.8109802</x:v>
      </x:c>
      <x:c r="AB10" s="22" t="n">
        <x:v>970895293427.9565</x:v>
      </x:c>
      <x:c r="AC10" s="22" t="n">
        <x:v>22287861317.631474</x:v>
      </x:c>
      <x:c r="AD10" s="18" t="n">
        <x:v>140</x:v>
      </x:c>
      <x:c r="AE10" s="18" t="n">
        <x:v>140</x:v>
      </x:c>
      <x:c r="AF10" s="18" t="n">
        <x:v>129</x:v>
      </x:c>
      <x:c r="AG10" s="18" t="n">
        <x:v>127</x:v>
      </x:c>
      <x:c r="AH10" s="18" t="n">
        <x:v>119</x:v>
      </x:c>
      <x:c r="AI10" s="18" t="n">
        <x:v>119</x:v>
      </x:c>
      <x:c r="AJ10" s="18" t="n">
        <x:v>108</x:v>
      </x:c>
      <x:c r="AK10" s="18" t="n">
        <x:v>105</x:v>
      </x:c>
      <x:c r="AL10" s="22" t="n">
        <x:v>928153771.048043</x:v>
      </x:c>
      <x:c r="AM10" s="22" t="n">
        <x:v>5500038.69928027</x:v>
      </x:c>
      <x:c r="AN10" s="22" t="n">
        <x:v>12670291614.19279</x:v>
      </x:c>
      <x:c r="AO10" s="22" t="n">
        <x:v>1055857634.5160651</x:v>
      </x:c>
      <x:c r="AP10" s="22" t="n">
        <x:v>45807442.01009329</x:v>
      </x:c>
      <x:c r="AQ10" s="18" t="n">
        <x:v>218</x:v>
      </x:c>
      <x:c r="AR10" s="18" t="n">
        <x:v>6</x:v>
      </x:c>
      <x:c r="AS10" s="18" t="n">
        <x:v>37</x:v>
      </x:c>
      <x:c r="AT10" s="18" t="n">
        <x:v>36</x:v>
      </x:c>
    </x:row>
    <x:row r="11" ht="25" customHeight="1">
      <x:c r="A11" s="19" t="str">
        <x:v>hourly_balanced</x:v>
      </x:c>
      <x:c r="B11" s="19" t="n">
        <x:v>4</x:v>
      </x:c>
      <x:c r="C11" s="19" t="n">
        <x:v>1</x:v>
      </x:c>
      <x:c r="D11" s="19" t="n">
        <x:v>215</x:v>
      </x:c>
      <x:c r="E11" s="19" t="n">
        <x:v>215</x:v>
      </x:c>
      <x:c r="F11" s="19" t="n">
        <x:v>143</x:v>
      </x:c>
      <x:c r="G11" s="19" t="n">
        <x:v>1901</x:v>
      </x:c>
      <x:c r="H11" s="19" t="n">
        <x:v>124</x:v>
      </x:c>
      <x:c r="I11" s="21" t="n">
        <x:v>83.84271568552322</x:v>
      </x:c>
      <x:c r="J11" s="21" t="n">
        <x:v>6.35</x:v>
      </x:c>
      <x:c r="K11" s="19" t="n">
        <x:v>138</x:v>
      </x:c>
      <x:c r="L11" s="19" t="n">
        <x:v>117</x:v>
      </x:c>
      <x:c r="M11" s="19" t="n">
        <x:v>8</x:v>
      </x:c>
      <x:c r="N11" s="19" t="n">
        <x:v>2</x:v>
      </x:c>
      <x:c r="O11" s="23" t="n">
        <x:v>251553583.4051294</x:v>
      </x:c>
      <x:c r="P11" s="23" t="n">
        <x:v>31003939.205875482</x:v>
      </x:c>
      <x:c r="Q11" s="23" t="n">
        <x:v>29347918.063931752</x:v>
      </x:c>
      <x:c r="R11" s="23" t="n">
        <x:v>52437099.12154944</x:v>
      </x:c>
      <x:c r="S11" s="25" t="n">
        <x:v>0.28300000000000003</x:v>
      </x:c>
      <x:c r="T11" s="21" t="n">
        <x:v>3.7800000000000002</x:v>
      </x:c>
      <x:c r="U11" s="23" t="n">
        <x:v>185641372.9799353</x:v>
      </x:c>
      <x:c r="V11" s="23" t="n">
        <x:v>438704140.13160723</x:v>
      </x:c>
      <x:c r="W11" s="23" t="n">
        <x:v>3841508832.4099965</x:v>
      </x:c>
      <x:c r="X11" s="23" t="n">
        <x:v>687699257562.4255</x:v>
      </x:c>
      <x:c r="Y11" s="23" t="n">
        <x:v>17780732928.792706</x:v>
      </x:c>
      <x:c r="Z11" s="23" t="n">
        <x:v>28921966270.92501</x:v>
      </x:c>
      <x:c r="AA11" s="23" t="n">
        <x:v>601534132.6327243</x:v>
      </x:c>
      <x:c r="AB11" s="23" t="n">
        <x:v>716621223833.3501</x:v>
      </x:c>
      <x:c r="AC11" s="23" t="n">
        <x:v>18382267061.425438</x:v>
      </x:c>
      <x:c r="AD11" s="19" t="n">
        <x:v>138</x:v>
      </x:c>
      <x:c r="AE11" s="19" t="n">
        <x:v>138</x:v>
      </x:c>
      <x:c r="AF11" s="19" t="n">
        <x:v>127</x:v>
      </x:c>
      <x:c r="AG11" s="19" t="n">
        <x:v>125</x:v>
      </x:c>
      <x:c r="AH11" s="19" t="n">
        <x:v>117</x:v>
      </x:c>
      <x:c r="AI11" s="19" t="n">
        <x:v>117</x:v>
      </x:c>
      <x:c r="AJ11" s="19" t="n">
        <x:v>106</x:v>
      </x:c>
      <x:c r="AK11" s="19" t="n">
        <x:v>103</x:v>
      </x:c>
      <x:c r="AL11" s="23" t="n">
        <x:v>682220729.705918</x:v>
      </x:c>
      <x:c r="AM11" s="23" t="n">
        <x:v>4275307.081765654</x:v>
      </x:c>
      <x:c r="AN11" s="23" t="n">
        <x:v>8653979655.892906</x:v>
      </x:c>
      <x:c r="AO11" s="23" t="n">
        <x:v>721164971.3244084</x:v>
      </x:c>
      <x:c r="AP11" s="23" t="n">
        <x:v>34946278.185644805</x:v>
      </x:c>
      <x:c r="AQ11" s="19" t="n">
        <x:v>218</x:v>
      </x:c>
      <x:c r="AR11" s="19" t="n">
        <x:v>6</x:v>
      </x:c>
      <x:c r="AS11" s="19" t="n">
        <x:v>36</x:v>
      </x:c>
      <x:c r="AT11" s="19" t="n">
        <x:v>35</x:v>
      </x:c>
    </x:row>
    <x:row r="12" ht="25" customHeight="1">
      <x:c r="A12" s="18" t="str">
        <x:v>hourly_balanced</x:v>
      </x:c>
      <x:c r="B12" s="18" t="n">
        <x:v>5</x:v>
      </x:c>
      <x:c r="C12" s="18" t="n">
        <x:v>1</x:v>
      </x:c>
      <x:c r="D12" s="18" t="n">
        <x:v>218</x:v>
      </x:c>
      <x:c r="E12" s="18" t="n">
        <x:v>219</x:v>
      </x:c>
      <x:c r="F12" s="18" t="n">
        <x:v>145</x:v>
      </x:c>
      <x:c r="G12" s="18" t="n">
        <x:v>1884</x:v>
      </x:c>
      <x:c r="H12" s="18" t="n">
        <x:v>120</x:v>
      </x:c>
      <x:c r="I12" s="20" t="n">
        <x:v>83.67085586169014</x:v>
      </x:c>
      <x:c r="J12" s="20" t="n">
        <x:v>5.35</x:v>
      </x:c>
      <x:c r="K12" s="18" t="n">
        <x:v>141</x:v>
      </x:c>
      <x:c r="L12" s="18" t="n">
        <x:v>119</x:v>
      </x:c>
      <x:c r="M12" s="18" t="n">
        <x:v>8</x:v>
      </x:c>
      <x:c r="N12" s="18" t="n">
        <x:v>5</x:v>
      </x:c>
      <x:c r="O12" s="22" t="n">
        <x:v>330757033.46530277</x:v>
      </x:c>
      <x:c r="P12" s="22" t="n">
        <x:v>111788356.61132936</x:v>
      </x:c>
      <x:c r="Q12" s="22" t="n">
        <x:v>38588320.570951976</x:v>
      </x:c>
      <x:c r="R12" s="22" t="n">
        <x:v>70150479.73234496</x:v>
      </x:c>
      <x:c r="S12" s="24" t="n">
        <x:v>0.28800000000000003</x:v>
      </x:c>
      <x:c r="T12" s="20" t="n">
        <x:v>3.84</x:v>
      </x:c>
      <x:c r="U12" s="22" t="n">
        <x:v>458882263.4396398</x:v>
      </x:c>
      <x:c r="V12" s="22" t="n">
        <x:v>550310473.381089</x:v>
      </x:c>
      <x:c r="W12" s="22" t="n">
        <x:v>5044802499.948706</x:v>
      </x:c>
      <x:c r="X12" s="22" t="n">
        <x:v>1009595688570.7052</x:v>
      </x:c>
      <x:c r="Y12" s="22" t="n">
        <x:v>19432257383.62759</x:v>
      </x:c>
      <x:c r="Z12" s="22" t="n">
        <x:v>42093936848.4199</x:v>
      </x:c>
      <x:c r="AA12" s="22" t="n">
        <x:v>841563857.9958756</x:v>
      </x:c>
      <x:c r="AB12" s="22" t="n">
        <x:v>1051689625419.1252</x:v>
      </x:c>
      <x:c r="AC12" s="22" t="n">
        <x:v>20273821241.62344</x:v>
      </x:c>
      <x:c r="AD12" s="18" t="n">
        <x:v>141</x:v>
      </x:c>
      <x:c r="AE12" s="18" t="n">
        <x:v>141</x:v>
      </x:c>
      <x:c r="AF12" s="18" t="n">
        <x:v>129</x:v>
      </x:c>
      <x:c r="AG12" s="18" t="n">
        <x:v>128</x:v>
      </x:c>
      <x:c r="AH12" s="18" t="n">
        <x:v>119</x:v>
      </x:c>
      <x:c r="AI12" s="18" t="n">
        <x:v>119</x:v>
      </x:c>
      <x:c r="AJ12" s="18" t="n">
        <x:v>109</x:v>
      </x:c>
      <x:c r="AK12" s="18" t="n">
        <x:v>106</x:v>
      </x:c>
      <x:c r="AL12" s="22" t="n">
        <x:v>859401639.8592979</x:v>
      </x:c>
      <x:c r="AM12" s="22" t="n">
        <x:v>5164355.586178665</x:v>
      </x:c>
      <x:c r="AN12" s="22" t="n">
        <x:v>11518446921.993437</x:v>
      </x:c>
      <x:c r="AO12" s="22" t="n">
        <x:v>959870576.8327857</x:v>
      </x:c>
      <x:c r="AP12" s="22" t="n">
        <x:v>42810693.467376895</x:v>
      </x:c>
      <x:c r="AQ12" s="18" t="n">
        <x:v>219</x:v>
      </x:c>
      <x:c r="AR12" s="18" t="n">
        <x:v>6</x:v>
      </x:c>
      <x:c r="AS12" s="18" t="n">
        <x:v>35</x:v>
      </x:c>
      <x:c r="AT12" s="18" t="n">
        <x:v>35</x:v>
      </x:c>
    </x:row>
    <x:row r="13" ht="25" customHeight="1">
      <x:c r="A13" s="19" t="str">
        <x:v>hourly_balanced</x:v>
      </x:c>
      <x:c r="B13" s="19" t="n">
        <x:v>6</x:v>
      </x:c>
      <x:c r="C13" s="19" t="n">
        <x:v>1</x:v>
      </x:c>
      <x:c r="D13" s="19" t="n">
        <x:v>212</x:v>
      </x:c>
      <x:c r="E13" s="19" t="n">
        <x:v>212</x:v>
      </x:c>
      <x:c r="F13" s="19" t="n">
        <x:v>142</x:v>
      </x:c>
      <x:c r="G13" s="19" t="n">
        <x:v>1881</x:v>
      </x:c>
      <x:c r="H13" s="19" t="n">
        <x:v>127</x:v>
      </x:c>
      <x:c r="I13" s="21" t="n">
        <x:v>82.24569746126872</x:v>
      </x:c>
      <x:c r="J13" s="21" t="n">
        <x:v>6.35</x:v>
      </x:c>
      <x:c r="K13" s="19" t="n">
        <x:v>137</x:v>
      </x:c>
      <x:c r="L13" s="19" t="n">
        <x:v>115</x:v>
      </x:c>
      <x:c r="M13" s="19" t="n">
        <x:v>8</x:v>
      </x:c>
      <x:c r="N13" s="19" t="n">
        <x:v>2</x:v>
      </x:c>
      <x:c r="O13" s="23" t="n">
        <x:v>214090092.0105165</x:v>
      </x:c>
      <x:c r="P13" s="23" t="n">
        <x:v>23781608.68456831</x:v>
      </x:c>
      <x:c r="Q13" s="23" t="n">
        <x:v>24977177.401226867</x:v>
      </x:c>
      <x:c r="R13" s="23" t="n">
        <x:v>44348477.106522396</x:v>
      </x:c>
      <x:c r="S13" s="25" t="n">
        <x:v>0.281</x:v>
      </x:c>
      <x:c r="T13" s="21" t="n">
        <x:v>3.76</x:v>
      </x:c>
      <x:c r="U13" s="23" t="n">
        <x:v>153401343.17911485</x:v>
      </x:c>
      <x:c r="V13" s="23" t="n">
        <x:v>391700125.11750776</x:v>
      </x:c>
      <x:c r="W13" s="23" t="n">
        <x:v>3417568677.491669</x:v>
      </x:c>
      <x:c r="X13" s="23" t="n">
        <x:v>579929736992.9127</x:v>
      </x:c>
      <x:c r="Y13" s="23" t="n">
        <x:v>15043278892.10479</x:v>
      </x:c>
      <x:c r="Z13" s="23" t="n">
        <x:v>25359023380.907497</x:v>
      </x:c>
      <x:c r="AA13" s="23" t="n">
        <x:v>463987714.0740969</x:v>
      </x:c>
      <x:c r="AB13" s="23" t="n">
        <x:v>605288760373.8204</x:v>
      </x:c>
      <x:c r="AC13" s="23" t="n">
        <x:v>15507266606.178883</x:v>
      </x:c>
      <x:c r="AD13" s="19" t="n">
        <x:v>137</x:v>
      </x:c>
      <x:c r="AE13" s="19" t="n">
        <x:v>137</x:v>
      </x:c>
      <x:c r="AF13" s="19" t="n">
        <x:v>126</x:v>
      </x:c>
      <x:c r="AG13" s="19" t="n">
        <x:v>124</x:v>
      </x:c>
      <x:c r="AH13" s="19" t="n">
        <x:v>115</x:v>
      </x:c>
      <x:c r="AI13" s="19" t="n">
        <x:v>115</x:v>
      </x:c>
      <x:c r="AJ13" s="19" t="n">
        <x:v>105</x:v>
      </x:c>
      <x:c r="AK13" s="19" t="n">
        <x:v>102</x:v>
      </x:c>
      <x:c r="AL13" s="23" t="n">
        <x:v>541568810.732862</x:v>
      </x:c>
      <x:c r="AM13" s="23" t="n">
        <x:v>3539309.0848185443</x:v>
      </x:c>
      <x:c r="AN13" s="23" t="n">
        <x:v>6501863002.173469</x:v>
      </x:c>
      <x:c r="AO13" s="23" t="n">
        <x:v>541821916.8477887</x:v>
      </x:c>
      <x:c r="AP13" s="23" t="n">
        <x:v>28526572.688178934</x:v>
      </x:c>
      <x:c r="AQ13" s="19" t="n">
        <x:v>214</x:v>
      </x:c>
      <x:c r="AR13" s="19" t="n">
        <x:v>7</x:v>
      </x:c>
      <x:c r="AS13" s="19" t="n">
        <x:v>34</x:v>
      </x:c>
      <x:c r="AT13" s="19" t="n">
        <x:v>33</x:v>
      </x:c>
    </x:row>
    <x:row r="14" ht="25" customHeight="1">
      <x:c r="A14" s="18" t="str">
        <x:v>hourly_balanced</x:v>
      </x:c>
      <x:c r="B14" s="18" t="n">
        <x:v>7</x:v>
      </x:c>
      <x:c r="C14" s="18" t="n">
        <x:v>1</x:v>
      </x:c>
      <x:c r="D14" s="18" t="n">
        <x:v>217</x:v>
      </x:c>
      <x:c r="E14" s="18" t="n">
        <x:v>217</x:v>
      </x:c>
      <x:c r="F14" s="18" t="n">
        <x:v>145</x:v>
      </x:c>
      <x:c r="G14" s="18" t="n">
        <x:v>1893</x:v>
      </x:c>
      <x:c r="H14" s="18" t="n">
        <x:v>122</x:v>
      </x:c>
      <x:c r="I14" s="20" t="n">
        <x:v>81.58030583792606</x:v>
      </x:c>
      <x:c r="J14" s="20" t="n">
        <x:v>5.35</x:v>
      </x:c>
      <x:c r="K14" s="18" t="n">
        <x:v>140</x:v>
      </x:c>
      <x:c r="L14" s="18" t="n">
        <x:v>119</x:v>
      </x:c>
      <x:c r="M14" s="18" t="n">
        <x:v>8</x:v>
      </x:c>
      <x:c r="N14" s="18" t="n">
        <x:v>3</x:v>
      </x:c>
      <x:c r="O14" s="22" t="n">
        <x:v>315006698.5383834</x:v>
      </x:c>
      <x:c r="P14" s="22" t="n">
        <x:v>276213417.13985837</x:v>
      </x:c>
      <x:c r="Q14" s="22" t="n">
        <x:v>36750781.49614472</x:v>
      </x:c>
      <x:c r="R14" s="22" t="n">
        <x:v>66600133.73512839</x:v>
      </x:c>
      <x:c r="S14" s="24" t="n">
        <x:v>0.28700000000000003</x:v>
      </x:c>
      <x:c r="T14" s="20" t="n">
        <x:v>3.83</x:v>
      </x:c>
      <x:c r="U14" s="22" t="n">
        <x:v>74395679.35532701</x:v>
      </x:c>
      <x:c r="V14" s="22" t="n">
        <x:v>550310473.381089</x:v>
      </x:c>
      <x:c r="W14" s="22" t="n">
        <x:v>4660315915.864404</x:v>
      </x:c>
      <x:c r="X14" s="22" t="n">
        <x:v>907105801143.0615</x:v>
      </x:c>
      <x:c r="Y14" s="22" t="n">
        <x:v>23892855026.27887</x:v>
      </x:c>
      <x:c r="Z14" s="22" t="n">
        <x:v>37619965862.48708</x:v>
      </x:c>
      <x:c r="AA14" s="22" t="n">
        <x:v>822390171.0081947</x:v>
      </x:c>
      <x:c r="AB14" s="22" t="n">
        <x:v>944725767005.5485</x:v>
      </x:c>
      <x:c r="AC14" s="22" t="n">
        <x:v>24715245197.28711</x:v>
      </x:c>
      <x:c r="AD14" s="18" t="n">
        <x:v>140</x:v>
      </x:c>
      <x:c r="AE14" s="18" t="n">
        <x:v>140</x:v>
      </x:c>
      <x:c r="AF14" s="18" t="n">
        <x:v>129</x:v>
      </x:c>
      <x:c r="AG14" s="18" t="n">
        <x:v>127</x:v>
      </x:c>
      <x:c r="AH14" s="18" t="n">
        <x:v>119</x:v>
      </x:c>
      <x:c r="AI14" s="18" t="n">
        <x:v>119</x:v>
      </x:c>
      <x:c r="AJ14" s="18" t="n">
        <x:v>108</x:v>
      </x:c>
      <x:c r="AK14" s="18" t="n">
        <x:v>106</x:v>
      </x:c>
      <x:c r="AL14" s="22" t="n">
        <x:v>795742259.1289816</x:v>
      </x:c>
      <x:c r="AM14" s="22" t="n">
        <x:v>4849160.1748156445</x:v>
      </x:c>
      <x:c r="AN14" s="22" t="n">
        <x:v>10471315383.63039</x:v>
      </x:c>
      <x:c r="AO14" s="22" t="n">
        <x:v>872609615.3025318</x:v>
      </x:c>
      <x:c r="AP14" s="22" t="n">
        <x:v>40009993.894744754</x:v>
      </x:c>
      <x:c r="AQ14" s="18" t="n">
        <x:v>220</x:v>
      </x:c>
      <x:c r="AR14" s="18" t="n">
        <x:v>7</x:v>
      </x:c>
      <x:c r="AS14" s="18" t="n">
        <x:v>34</x:v>
      </x:c>
      <x:c r="AT14" s="18" t="n">
        <x:v>34</x:v>
      </x:c>
    </x:row>
    <x:row r="15" ht="25" customHeight="1">
      <x:c r="A15" s="19" t="str">
        <x:v>hourly_balanced</x:v>
      </x:c>
      <x:c r="B15" s="19" t="n">
        <x:v>8</x:v>
      </x:c>
      <x:c r="C15" s="19" t="n">
        <x:v>1</x:v>
      </x:c>
      <x:c r="D15" s="19" t="n">
        <x:v>217</x:v>
      </x:c>
      <x:c r="E15" s="19" t="n">
        <x:v>218</x:v>
      </x:c>
      <x:c r="F15" s="19" t="n">
        <x:v>145</x:v>
      </x:c>
      <x:c r="G15" s="19" t="n">
        <x:v>1889</x:v>
      </x:c>
      <x:c r="H15" s="19" t="n">
        <x:v>123</x:v>
      </x:c>
      <x:c r="I15" s="21" t="n">
        <x:v>79.71703640027226</x:v>
      </x:c>
      <x:c r="J15" s="21" t="n">
        <x:v>5.35</x:v>
      </x:c>
      <x:c r="K15" s="19" t="n">
        <x:v>140</x:v>
      </x:c>
      <x:c r="L15" s="19" t="n">
        <x:v>119</x:v>
      </x:c>
      <x:c r="M15" s="19" t="n">
        <x:v>8</x:v>
      </x:c>
      <x:c r="N15" s="19" t="n">
        <x:v>4</x:v>
      </x:c>
      <x:c r="O15" s="23" t="n">
        <x:v>315006698.5383834</x:v>
      </x:c>
      <x:c r="P15" s="23" t="n">
        <x:v>186503953.90576828</x:v>
      </x:c>
      <x:c r="Q15" s="23" t="n">
        <x:v>36750781.49614472</x:v>
      </x:c>
      <x:c r="R15" s="23" t="n">
        <x:v>66600133.73512839</x:v>
      </x:c>
      <x:c r="S15" s="25" t="n">
        <x:v>0.28700000000000003</x:v>
      </x:c>
      <x:c r="T15" s="21" t="n">
        <x:v>3.83</x:v>
      </x:c>
      <x:c r="U15" s="23" t="n">
        <x:v>94181206.72586265</x:v>
      </x:c>
      <x:c r="V15" s="23" t="n">
        <x:v>550310473.381089</x:v>
      </x:c>
      <x:c r="W15" s="23" t="n">
        <x:v>4680101443.23494</x:v>
      </x:c>
      <x:c r="X15" s="23" t="n">
        <x:v>911359940470.1826</x:v>
      </x:c>
      <x:c r="Y15" s="23" t="n">
        <x:v>21019741408.39379</x:v>
      </x:c>
      <x:c r="Z15" s="23" t="n">
        <x:v>37619965862.48708</x:v>
      </x:c>
      <x:c r="AA15" s="23" t="n">
        <x:v>822390171.0081947</x:v>
      </x:c>
      <x:c r="AB15" s="23" t="n">
        <x:v>948979906332.6698</x:v>
      </x:c>
      <x:c r="AC15" s="23" t="n">
        <x:v>21842131579.40195</x:v>
      </x:c>
      <x:c r="AD15" s="19" t="n">
        <x:v>140</x:v>
      </x:c>
      <x:c r="AE15" s="19" t="n">
        <x:v>140</x:v>
      </x:c>
      <x:c r="AF15" s="19" t="n">
        <x:v>129</x:v>
      </x:c>
      <x:c r="AG15" s="19" t="n">
        <x:v>127</x:v>
      </x:c>
      <x:c r="AH15" s="19" t="n">
        <x:v>119</x:v>
      </x:c>
      <x:c r="AI15" s="19" t="n">
        <x:v>119</x:v>
      </x:c>
      <x:c r="AJ15" s="19" t="n">
        <x:v>108</x:v>
      </x:c>
      <x:c r="AK15" s="19" t="n">
        <x:v>106</x:v>
      </x:c>
      <x:c r="AL15" s="23" t="n">
        <x:v>795742259.1289816</x:v>
      </x:c>
      <x:c r="AM15" s="23" t="n">
        <x:v>4849160.1748156445</x:v>
      </x:c>
      <x:c r="AN15" s="23" t="n">
        <x:v>10471315383.63039</x:v>
      </x:c>
      <x:c r="AO15" s="23" t="n">
        <x:v>872609615.3025318</x:v>
      </x:c>
      <x:c r="AP15" s="23" t="n">
        <x:v>40009993.894744754</x:v>
      </x:c>
      <x:c r="AQ15" s="19" t="n">
        <x:v>216</x:v>
      </x:c>
      <x:c r="AR15" s="19" t="n">
        <x:v>6</x:v>
      </x:c>
      <x:c r="AS15" s="19" t="n">
        <x:v>35</x:v>
      </x:c>
      <x:c r="AT15" s="19" t="n">
        <x:v>35</x:v>
      </x:c>
    </x:row>
    <x:row r="16" ht="25" customHeight="1">
      <x:c r="A16" s="18" t="str">
        <x:v>hourly_balanced</x:v>
      </x:c>
      <x:c r="B16" s="18" t="n">
        <x:v>9</x:v>
      </x:c>
      <x:c r="C16" s="18" t="n">
        <x:v>1</x:v>
      </x:c>
      <x:c r="D16" s="18" t="n">
        <x:v>217</x:v>
      </x:c>
      <x:c r="E16" s="18" t="n">
        <x:v>218</x:v>
      </x:c>
      <x:c r="F16" s="18" t="n">
        <x:v>144</x:v>
      </x:c>
      <x:c r="G16" s="18" t="n">
        <x:v>1890</x:v>
      </x:c>
      <x:c r="H16" s="18" t="n">
        <x:v>126</x:v>
      </x:c>
      <x:c r="I16" s="20" t="n">
        <x:v>82.19312522713881</x:v>
      </x:c>
      <x:c r="J16" s="20" t="n">
        <x:v>6.35</x:v>
      </x:c>
      <x:c r="K16" s="18" t="n">
        <x:v>140</x:v>
      </x:c>
      <x:c r="L16" s="18" t="n">
        <x:v>118</x:v>
      </x:c>
      <x:c r="M16" s="18" t="n">
        <x:v>8</x:v>
      </x:c>
      <x:c r="N16" s="18" t="n">
        <x:v>4</x:v>
      </x:c>
      <x:c r="O16" s="22" t="n">
        <x:v>295572787.74420226</x:v>
      </x:c>
      <x:c r="P16" s="22" t="n">
        <x:v>113729281.1886189</x:v>
      </x:c>
      <x:c r="Q16" s="22" t="n">
        <x:v>34483491.90349025</x:v>
      </x:c>
      <x:c r="R16" s="22" t="n">
        <x:v>62196495.00664926</x:v>
      </x:c>
      <x:c r="S16" s="24" t="n">
        <x:v>0.28600000000000003</x:v>
      </x:c>
      <x:c r="T16" s="20" t="n">
        <x:v>3.81</x:v>
      </x:c>
      <x:c r="U16" s="22" t="n">
        <x:v>397416152.21770877</x:v>
      </x:c>
      <x:c r="V16" s="22" t="n">
        <x:v>491348636.94740045</x:v>
      </x:c>
      <x:c r="W16" s="22" t="n">
        <x:v>4491987751.779361</x:v>
      </x:c>
      <x:c r="X16" s="22" t="n">
        <x:v>856135054149.6678</x:v>
      </x:c>
      <x:c r="Y16" s="22" t="n">
        <x:v>20540847908.410297</x:v>
      </x:c>
      <x:c r="Z16" s="22" t="n">
        <x:v>37619965862.48708</x:v>
      </x:c>
      <x:c r="AA16" s="22" t="n">
        <x:v>698080366.9202793</x:v>
      </x:c>
      <x:c r="AB16" s="22" t="n">
        <x:v>893755020012.1564</x:v>
      </x:c>
      <x:c r="AC16" s="22" t="n">
        <x:v>21238928275.330532</x:v>
      </x:c>
      <x:c r="AD16" s="18" t="n">
        <x:v>140</x:v>
      </x:c>
      <x:c r="AE16" s="18" t="n">
        <x:v>140</x:v>
      </x:c>
      <x:c r="AF16" s="18" t="n">
        <x:v>129</x:v>
      </x:c>
      <x:c r="AG16" s="18" t="n">
        <x:v>127</x:v>
      </x:c>
      <x:c r="AH16" s="18" t="n">
        <x:v>118</x:v>
      </x:c>
      <x:c r="AI16" s="18" t="n">
        <x:v>118</x:v>
      </x:c>
      <x:c r="AJ16" s="18" t="n">
        <x:v>107</x:v>
      </x:c>
      <x:c r="AK16" s="18" t="n">
        <x:v>104</x:v>
      </x:c>
      <x:c r="AL16" s="22" t="n">
        <x:v>795742259.1289816</x:v>
      </x:c>
      <x:c r="AM16" s="22" t="n">
        <x:v>4849160.1748156445</x:v>
      </x:c>
      <x:c r="AN16" s="22" t="n">
        <x:v>10471315383.63039</x:v>
      </x:c>
      <x:c r="AO16" s="22" t="n">
        <x:v>872609615.3025318</x:v>
      </x:c>
      <x:c r="AP16" s="22" t="n">
        <x:v>40009993.894744754</x:v>
      </x:c>
      <x:c r="AQ16" s="18" t="n">
        <x:v>217</x:v>
      </x:c>
      <x:c r="AR16" s="18" t="n">
        <x:v>7</x:v>
      </x:c>
      <x:c r="AS16" s="18" t="n">
        <x:v>34</x:v>
      </x:c>
      <x:c r="AT16" s="18" t="n">
        <x:v>35</x:v>
      </x:c>
    </x:row>
    <x:row r="17" ht="25" customHeight="1">
      <x:c r="A17" s="19" t="str">
        <x:v>hourly_balanced</x:v>
      </x:c>
      <x:c r="B17" s="19" t="n">
        <x:v>10</x:v>
      </x:c>
      <x:c r="C17" s="19" t="n">
        <x:v>1</x:v>
      </x:c>
      <x:c r="D17" s="19" t="n">
        <x:v>217</x:v>
      </x:c>
      <x:c r="E17" s="19" t="n">
        <x:v>218</x:v>
      </x:c>
      <x:c r="F17" s="19" t="n">
        <x:v>144</x:v>
      </x:c>
      <x:c r="G17" s="19" t="n">
        <x:v>1888</x:v>
      </x:c>
      <x:c r="H17" s="19" t="n">
        <x:v>124</x:v>
      </x:c>
      <x:c r="I17" s="21" t="n">
        <x:v>83.8619780770241</x:v>
      </x:c>
      <x:c r="J17" s="21" t="n">
        <x:v>5.35</x:v>
      </x:c>
      <x:c r="K17" s="19" t="n">
        <x:v>139</x:v>
      </x:c>
      <x:c r="L17" s="19" t="n">
        <x:v>119</x:v>
      </x:c>
      <x:c r="M17" s="19" t="n">
        <x:v>8</x:v>
      </x:c>
      <x:c r="N17" s="19" t="n">
        <x:v>2</x:v>
      </x:c>
      <x:c r="O17" s="23" t="n">
        <x:v>295572787.74420226</x:v>
      </x:c>
      <x:c r="P17" s="23" t="n">
        <x:v>208287904.59752315</x:v>
      </x:c>
      <x:c r="Q17" s="23" t="n">
        <x:v>34483491.90349025</x:v>
      </x:c>
      <x:c r="R17" s="23" t="n">
        <x:v>62196495.00664926</x:v>
      </x:c>
      <x:c r="S17" s="25" t="n">
        <x:v>0.28600000000000003</x:v>
      </x:c>
      <x:c r="T17" s="21" t="n">
        <x:v>3.81</x:v>
      </x:c>
      <x:c r="U17" s="23" t="n">
        <x:v>275472641.2795132</x:v>
      </x:c>
      <x:c r="V17" s="23" t="n">
        <x:v>491348636.94740045</x:v>
      </x:c>
      <x:c r="W17" s="23" t="n">
        <x:v>4370044240.841166</x:v>
      </x:c>
      <x:c r="X17" s="23" t="n">
        <x:v>832546707326.4161</x:v>
      </x:c>
      <x:c r="Y17" s="23" t="n">
        <x:v>14397097364.973742</x:v>
      </x:c>
      <x:c r="Z17" s="23" t="n">
        <x:v>32985502636.990044</x:v>
      </x:c>
      <x:c r="AA17" s="23" t="n">
        <x:v>810122271.8109802</x:v>
      </x:c>
      <x:c r="AB17" s="23" t="n">
        <x:v>865532209963.4054</x:v>
      </x:c>
      <x:c r="AC17" s="23" t="n">
        <x:v>15207219636.784746</x:v>
      </x:c>
      <x:c r="AD17" s="19" t="n">
        <x:v>139</x:v>
      </x:c>
      <x:c r="AE17" s="19" t="n">
        <x:v>139</x:v>
      </x:c>
      <x:c r="AF17" s="19" t="n">
        <x:v>128</x:v>
      </x:c>
      <x:c r="AG17" s="19" t="n">
        <x:v>126</x:v>
      </x:c>
      <x:c r="AH17" s="19" t="n">
        <x:v>119</x:v>
      </x:c>
      <x:c r="AI17" s="19" t="n">
        <x:v>119</x:v>
      </x:c>
      <x:c r="AJ17" s="19" t="n">
        <x:v>108</x:v>
      </x:c>
      <x:c r="AK17" s="19" t="n">
        <x:v>105</x:v>
      </x:c>
      <x:c r="AL17" s="23" t="n">
        <x:v>795742259.1289816</x:v>
      </x:c>
      <x:c r="AM17" s="23" t="n">
        <x:v>4849160.1748156445</x:v>
      </x:c>
      <x:c r="AN17" s="23" t="n">
        <x:v>10471315383.63039</x:v>
      </x:c>
      <x:c r="AO17" s="23" t="n">
        <x:v>872609615.3025318</x:v>
      </x:c>
      <x:c r="AP17" s="23" t="n">
        <x:v>40009993.894744754</x:v>
      </x:c>
      <x:c r="AQ17" s="19" t="n">
        <x:v>218</x:v>
      </x:c>
      <x:c r="AR17" s="19" t="n">
        <x:v>7</x:v>
      </x:c>
      <x:c r="AS17" s="19" t="n">
        <x:v>36</x:v>
      </x:c>
      <x:c r="AT17" s="19" t="n">
        <x:v>36</x:v>
      </x:c>
    </x:row>
    <x:row r="18" ht="25" customHeight="1">
      <x:c r="A18" s="18" t="str">
        <x:v>hourly_balanced</x:v>
      </x:c>
      <x:c r="B18" s="18" t="n">
        <x:v>11</x:v>
      </x:c>
      <x:c r="C18" s="18" t="n">
        <x:v>1</x:v>
      </x:c>
      <x:c r="D18" s="18" t="n">
        <x:v>217</x:v>
      </x:c>
      <x:c r="E18" s="18" t="n">
        <x:v>218</x:v>
      </x:c>
      <x:c r="F18" s="18" t="n">
        <x:v>145</x:v>
      </x:c>
      <x:c r="G18" s="18" t="n">
        <x:v>1888</x:v>
      </x:c>
      <x:c r="H18" s="18" t="n">
        <x:v>123</x:v>
      </x:c>
      <x:c r="I18" s="20" t="n">
        <x:v>79.65342073170905</x:v>
      </x:c>
      <x:c r="J18" s="20" t="n">
        <x:v>5.35</x:v>
      </x:c>
      <x:c r="K18" s="18" t="n">
        <x:v>140</x:v>
      </x:c>
      <x:c r="L18" s="18" t="n">
        <x:v>119</x:v>
      </x:c>
      <x:c r="M18" s="18" t="n">
        <x:v>8</x:v>
      </x:c>
      <x:c r="N18" s="18" t="n">
        <x:v>1</x:v>
      </x:c>
      <x:c r="O18" s="22" t="n">
        <x:v>315006698.5383834</x:v>
      </x:c>
      <x:c r="P18" s="22" t="n">
        <x:v>285911737.4894901</x:v>
      </x:c>
      <x:c r="Q18" s="22" t="n">
        <x:v>36750781.49614472</x:v>
      </x:c>
      <x:c r="R18" s="22" t="n">
        <x:v>66704138.446762525</x:v>
      </x:c>
      <x:c r="S18" s="24" t="n">
        <x:v>0.28800000000000003</x:v>
      </x:c>
      <x:c r="T18" s="20" t="n">
        <x:v>3.83</x:v>
      </x:c>
      <x:c r="U18" s="22" t="n">
        <x:v>211881250.41144893</x:v>
      </x:c>
      <x:c r="V18" s="22" t="n">
        <x:v>550310473.381089</x:v>
      </x:c>
      <x:c r="W18" s="22" t="n">
        <x:v>4797801486.920522</x:v>
      </x:c>
      <x:c r="X18" s="22" t="n">
        <x:v>949053353381.5142</x:v>
      </x:c>
      <x:c r="Y18" s="22" t="n">
        <x:v>18955779252.113186</x:v>
      </x:c>
      <x:c r="Z18" s="22" t="n">
        <x:v>37619965862.48708</x:v>
      </x:c>
      <x:c r="AA18" s="22" t="n">
        <x:v>841563857.9958756</x:v>
      </x:c>
      <x:c r="AB18" s="22" t="n">
        <x:v>986673319244.0015</x:v>
      </x:c>
      <x:c r="AC18" s="22" t="n">
        <x:v>19797343110.10906</x:v>
      </x:c>
      <x:c r="AD18" s="18" t="n">
        <x:v>140</x:v>
      </x:c>
      <x:c r="AE18" s="18" t="n">
        <x:v>140</x:v>
      </x:c>
      <x:c r="AF18" s="18" t="n">
        <x:v>129</x:v>
      </x:c>
      <x:c r="AG18" s="18" t="n">
        <x:v>127</x:v>
      </x:c>
      <x:c r="AH18" s="18" t="n">
        <x:v>119</x:v>
      </x:c>
      <x:c r="AI18" s="18" t="n">
        <x:v>119</x:v>
      </x:c>
      <x:c r="AJ18" s="18" t="n">
        <x:v>109</x:v>
      </x:c>
      <x:c r="AK18" s="18" t="n">
        <x:v>106</x:v>
      </x:c>
      <x:c r="AL18" s="22" t="n">
        <x:v>795742259.1289816</x:v>
      </x:c>
      <x:c r="AM18" s="22" t="n">
        <x:v>4849160.1748156445</x:v>
      </x:c>
      <x:c r="AN18" s="22" t="n">
        <x:v>10471315383.63039</x:v>
      </x:c>
      <x:c r="AO18" s="22" t="n">
        <x:v>872609615.3025318</x:v>
      </x:c>
      <x:c r="AP18" s="22" t="n">
        <x:v>40009993.894744754</x:v>
      </x:c>
      <x:c r="AQ18" s="18" t="n">
        <x:v>215</x:v>
      </x:c>
      <x:c r="AR18" s="18" t="n">
        <x:v>7</x:v>
      </x:c>
      <x:c r="AS18" s="18" t="n">
        <x:v>34</x:v>
      </x:c>
      <x:c r="AT18" s="18" t="n">
        <x:v>34</x:v>
      </x:c>
    </x:row>
    <x:row r="19" ht="25" customHeight="1">
      <x:c r="A19" s="19" t="str">
        <x:v>hourly_balanced</x:v>
      </x:c>
      <x:c r="B19" s="19" t="n">
        <x:v>12</x:v>
      </x:c>
      <x:c r="C19" s="19" t="n">
        <x:v>1</x:v>
      </x:c>
      <x:c r="D19" s="19" t="n">
        <x:v>214</x:v>
      </x:c>
      <x:c r="E19" s="19" t="n">
        <x:v>215</x:v>
      </x:c>
      <x:c r="F19" s="19" t="n">
        <x:v>144</x:v>
      </x:c>
      <x:c r="G19" s="19" t="n">
        <x:v>1881</x:v>
      </x:c>
      <x:c r="H19" s="19" t="n">
        <x:v>127</x:v>
      </x:c>
      <x:c r="I19" s="21" t="n">
        <x:v>83.0666736922758</x:v>
      </x:c>
      <x:c r="J19" s="21" t="n">
        <x:v>5.85</x:v>
      </x:c>
      <x:c r="K19" s="19" t="n">
        <x:v>139</x:v>
      </x:c>
      <x:c r="L19" s="19" t="n">
        <x:v>117</x:v>
      </x:c>
      <x:c r="M19" s="19" t="n">
        <x:v>8</x:v>
      </x:c>
      <x:c r="N19" s="19" t="n">
        <x:v>3</x:v>
      </x:c>
      <x:c r="O19" s="23" t="n">
        <x:v>268093231.5140165</x:v>
      </x:c>
      <x:c r="P19" s="23" t="n">
        <x:v>248021367.28037646</x:v>
      </x:c>
      <x:c r="Q19" s="23" t="n">
        <x:v>31277543.67663525</x:v>
      </x:c>
      <x:c r="R19" s="23" t="n">
        <x:v>56149446.40829561</x:v>
      </x:c>
      <x:c r="S19" s="25" t="n">
        <x:v>0.28400000000000003</x:v>
      </x:c>
      <x:c r="T19" s="21" t="n">
        <x:v>3.8</x:v>
      </x:c>
      <x:c r="U19" s="23" t="n">
        <x:v>48344212.23466459</x:v>
      </x:c>
      <x:c r="V19" s="23" t="n">
        <x:v>491348636.94740045</x:v>
      </x:c>
      <x:c r="W19" s="23" t="n">
        <x:v>4142915811.7963233</x:v>
      </x:c>
      <x:c r="X19" s="23" t="n">
        <x:v>758637749930.565</x:v>
      </x:c>
      <x:c r="Y19" s="23" t="n">
        <x:v>15742161159.568432</x:v>
      </x:c>
      <x:c r="Z19" s="23" t="n">
        <x:v>32985502636.990044</x:v>
      </x:c>
      <x:c r="AA19" s="23" t="n">
        <x:v>610643325.7479904</x:v>
      </x:c>
      <x:c r="AB19" s="23" t="n">
        <x:v>791623252567.5542</x:v>
      </x:c>
      <x:c r="AC19" s="23" t="n">
        <x:v>16352804485.316433</x:v>
      </x:c>
      <x:c r="AD19" s="19" t="n">
        <x:v>139</x:v>
      </x:c>
      <x:c r="AE19" s="19" t="n">
        <x:v>139</x:v>
      </x:c>
      <x:c r="AF19" s="19" t="n">
        <x:v>128</x:v>
      </x:c>
      <x:c r="AG19" s="19" t="n">
        <x:v>126</x:v>
      </x:c>
      <x:c r="AH19" s="19" t="n">
        <x:v>117</x:v>
      </x:c>
      <x:c r="AI19" s="19" t="n">
        <x:v>117</x:v>
      </x:c>
      <x:c r="AJ19" s="19" t="n">
        <x:v>106</x:v>
      </x:c>
      <x:c r="AK19" s="19" t="n">
        <x:v>104</x:v>
      </x:c>
      <x:c r="AL19" s="23" t="n">
        <x:v>631685860.838812</x:v>
      </x:c>
      <x:c r="AM19" s="23" t="n">
        <x:v>4014372.8467283105</x:v>
      </x:c>
      <x:c r="AN19" s="23" t="n">
        <x:v>7867254232.6299095</x:v>
      </x:c>
      <x:c r="AO19" s="23" t="n">
        <x:v>655604519.3858253</x:v>
      </x:c>
      <x:c r="AP19" s="23" t="n">
        <x:v>32660073.070696075</x:v>
      </x:c>
      <x:c r="AQ19" s="19" t="n">
        <x:v>217</x:v>
      </x:c>
      <x:c r="AR19" s="19" t="n">
        <x:v>7</x:v>
      </x:c>
      <x:c r="AS19" s="19" t="n">
        <x:v>34</x:v>
      </x:c>
      <x:c r="AT19" s="19" t="n">
        <x:v>34</x:v>
      </x:c>
    </x:row>
    <x:row r="20" ht="25" customHeight="1">
      <x:c r="A20" s="18" t="str">
        <x:v>hourly_balanced</x:v>
      </x:c>
      <x:c r="B20" s="18" t="n">
        <x:v>13</x:v>
      </x:c>
      <x:c r="C20" s="18" t="n">
        <x:v>1</x:v>
      </x:c>
      <x:c r="D20" s="18" t="n">
        <x:v>218</x:v>
      </x:c>
      <x:c r="E20" s="18" t="n">
        <x:v>219</x:v>
      </x:c>
      <x:c r="F20" s="18" t="n">
        <x:v>145</x:v>
      </x:c>
      <x:c r="G20" s="18" t="n">
        <x:v>1903</x:v>
      </x:c>
      <x:c r="H20" s="18" t="n">
        <x:v>123</x:v>
      </x:c>
      <x:c r="I20" s="20" t="n">
        <x:v>86.5635998267353</x:v>
      </x:c>
      <x:c r="J20" s="20" t="n">
        <x:v>5.85</x:v>
      </x:c>
      <x:c r="K20" s="18" t="n">
        <x:v>141</x:v>
      </x:c>
      <x:c r="L20" s="18" t="n">
        <x:v>120</x:v>
      </x:c>
      <x:c r="M20" s="18" t="n">
        <x:v>8</x:v>
      </x:c>
      <x:c r="N20" s="18" t="n">
        <x:v>1</x:v>
      </x:c>
      <x:c r="O20" s="22" t="n">
        <x:v>347294885.13856804</x:v>
      </x:c>
      <x:c r="P20" s="22" t="n">
        <x:v>326637462.7938539</x:v>
      </x:c>
      <x:c r="Q20" s="22" t="n">
        <x:v>40517736.59949959</x:v>
      </x:c>
      <x:c r="R20" s="22" t="n">
        <x:v>73541312.63755575</x:v>
      </x:c>
      <x:c r="S20" s="24" t="n">
        <x:v>0.28800000000000003</x:v>
      </x:c>
      <x:c r="T20" s="20" t="n">
        <x:v>3.83</x:v>
      </x:c>
      <x:c r="U20" s="22" t="n">
        <x:v>501769212.61190456</x:v>
      </x:c>
      <x:c r="V20" s="22" t="n">
        <x:v>550310473.381089</x:v>
      </x:c>
      <x:c r="W20" s="22" t="n">
        <x:v>5087689449.120978</x:v>
      </x:c>
      <x:c r="X20" s="22" t="n">
        <x:v>1020171597324.966</x:v>
      </x:c>
      <x:c r="Y20" s="22" t="n">
        <x:v>25882875099.2323</x:v>
      </x:c>
      <x:c r="Z20" s="22" t="n">
        <x:v>41559097888.5629</x:v>
      </x:c>
      <x:c r="AA20" s="22" t="n">
        <x:v>940146902.4366461</x:v>
      </x:c>
      <x:c r="AB20" s="22" t="n">
        <x:v>1061730695213.53</x:v>
      </x:c>
      <x:c r="AC20" s="22" t="n">
        <x:v>26823022001.668903</x:v>
      </x:c>
      <x:c r="AD20" s="18" t="n">
        <x:v>141</x:v>
      </x:c>
      <x:c r="AE20" s="18" t="n">
        <x:v>141</x:v>
      </x:c>
      <x:c r="AF20" s="18" t="n">
        <x:v>129</x:v>
      </x:c>
      <x:c r="AG20" s="18" t="n">
        <x:v>127</x:v>
      </x:c>
      <x:c r="AH20" s="18" t="n">
        <x:v>120</x:v>
      </x:c>
      <x:c r="AI20" s="18" t="n">
        <x:v>120</x:v>
      </x:c>
      <x:c r="AJ20" s="18" t="n">
        <x:v>109</x:v>
      </x:c>
      <x:c r="AK20" s="18" t="n">
        <x:v>106</x:v>
      </x:c>
      <x:c r="AL20" s="22" t="n">
        <x:v>859401639.8592979</x:v>
      </x:c>
      <x:c r="AM20" s="22" t="n">
        <x:v>5164355.586178665</x:v>
      </x:c>
      <x:c r="AN20" s="22" t="n">
        <x:v>11518446921.993437</x:v>
      </x:c>
      <x:c r="AO20" s="22" t="n">
        <x:v>959870576.8327857</x:v>
      </x:c>
      <x:c r="AP20" s="22" t="n">
        <x:v>42810693.467376895</x:v>
      </x:c>
      <x:c r="AQ20" s="18" t="n">
        <x:v>222</x:v>
      </x:c>
      <x:c r="AR20" s="18" t="n">
        <x:v>8</x:v>
      </x:c>
      <x:c r="AS20" s="18" t="n">
        <x:v>34</x:v>
      </x:c>
      <x:c r="AT20" s="18" t="n">
        <x:v>35</x:v>
      </x:c>
    </x:row>
    <x:row r="21" ht="25" customHeight="1">
      <x:c r="A21" s="19" t="str">
        <x:v>hourly_balanced</x:v>
      </x:c>
      <x:c r="B21" s="19" t="n">
        <x:v>14</x:v>
      </x:c>
      <x:c r="C21" s="19" t="n">
        <x:v>1</x:v>
      </x:c>
      <x:c r="D21" s="19" t="n">
        <x:v>217</x:v>
      </x:c>
      <x:c r="E21" s="19" t="n">
        <x:v>218</x:v>
      </x:c>
      <x:c r="F21" s="19" t="n">
        <x:v>144</x:v>
      </x:c>
      <x:c r="G21" s="19" t="n">
        <x:v>1896</x:v>
      </x:c>
      <x:c r="H21" s="19" t="n">
        <x:v>124</x:v>
      </x:c>
      <x:c r="I21" s="21" t="n">
        <x:v>80.83207065671377</x:v>
      </x:c>
      <x:c r="J21" s="21" t="n">
        <x:v>5.35</x:v>
      </x:c>
      <x:c r="K21" s="19" t="n">
        <x:v>139</x:v>
      </x:c>
      <x:c r="L21" s="19" t="n">
        <x:v>120</x:v>
      </x:c>
      <x:c r="M21" s="19" t="n">
        <x:v>8</x:v>
      </x:c>
      <x:c r="N21" s="19" t="n">
        <x:v>5</x:v>
      </x:c>
      <x:c r="O21" s="23" t="n">
        <x:v>310351427.1314125</x:v>
      </x:c>
      <x:c r="P21" s="23" t="n">
        <x:v>94563799.35211527</x:v>
      </x:c>
      <x:c r="Q21" s="23" t="n">
        <x:v>36207666.49866478</x:v>
      </x:c>
      <x:c r="R21" s="23" t="n">
        <x:v>65511979.302694194</x:v>
      </x:c>
      <x:c r="S21" s="25" t="n">
        <x:v>0.28700000000000003</x:v>
      </x:c>
      <x:c r="T21" s="21" t="n">
        <x:v>3.8200000000000003</x:v>
      </x:c>
      <x:c r="U21" s="23" t="n">
        <x:v>375216961.31507164</x:v>
      </x:c>
      <x:c r="V21" s="23" t="n">
        <x:v>491348636.94740045</x:v>
      </x:c>
      <x:c r="W21" s="23" t="n">
        <x:v>4469788560.876728</x:v>
      </x:c>
      <x:c r="X21" s="23" t="n">
        <x:v>866579928912.8932</x:v>
      </x:c>
      <x:c r="Y21" s="23" t="n">
        <x:v>16708415007.842653</x:v>
      </x:c>
      <x:c r="Z21" s="23" t="n">
        <x:v>32985502636.990044</x:v>
      </x:c>
      <x:c r="AA21" s="23" t="n">
        <x:v>940146902.4366461</x:v>
      </x:c>
      <x:c r="AB21" s="23" t="n">
        <x:v>899565431549.8832</x:v>
      </x:c>
      <x:c r="AC21" s="23" t="n">
        <x:v>17648561910.279278</x:v>
      </x:c>
      <x:c r="AD21" s="19" t="n">
        <x:v>139</x:v>
      </x:c>
      <x:c r="AE21" s="19" t="n">
        <x:v>139</x:v>
      </x:c>
      <x:c r="AF21" s="19" t="n">
        <x:v>128</x:v>
      </x:c>
      <x:c r="AG21" s="19" t="n">
        <x:v>126</x:v>
      </x:c>
      <x:c r="AH21" s="19" t="n">
        <x:v>120</x:v>
      </x:c>
      <x:c r="AI21" s="19" t="n">
        <x:v>120</x:v>
      </x:c>
      <x:c r="AJ21" s="19" t="n">
        <x:v>109</x:v>
      </x:c>
      <x:c r="AK21" s="19" t="n">
        <x:v>106</x:v>
      </x:c>
      <x:c r="AL21" s="23" t="n">
        <x:v>795742259.1289816</x:v>
      </x:c>
      <x:c r="AM21" s="23" t="n">
        <x:v>4849160.1748156445</x:v>
      </x:c>
      <x:c r="AN21" s="23" t="n">
        <x:v>10471315383.63039</x:v>
      </x:c>
      <x:c r="AO21" s="23" t="n">
        <x:v>872609615.3025318</x:v>
      </x:c>
      <x:c r="AP21" s="23" t="n">
        <x:v>40009993.894744754</x:v>
      </x:c>
      <x:c r="AQ21" s="19" t="n">
        <x:v>222</x:v>
      </x:c>
      <x:c r="AR21" s="19" t="n">
        <x:v>6</x:v>
      </x:c>
      <x:c r="AS21" s="19" t="n">
        <x:v>36</x:v>
      </x:c>
      <x:c r="AT21" s="19" t="n">
        <x:v>37</x:v>
      </x:c>
    </x:row>
    <x:row r="22" ht="25" customHeight="1">
      <x:c r="A22" s="18" t="str">
        <x:v>hourly_balanced</x:v>
      </x:c>
      <x:c r="B22" s="18" t="n">
        <x:v>15</x:v>
      </x:c>
      <x:c r="C22" s="18" t="n">
        <x:v>1</x:v>
      </x:c>
      <x:c r="D22" s="18" t="n">
        <x:v>217</x:v>
      </x:c>
      <x:c r="E22" s="18" t="n">
        <x:v>218</x:v>
      </x:c>
      <x:c r="F22" s="18" t="n">
        <x:v>145</x:v>
      </x:c>
      <x:c r="G22" s="18" t="n">
        <x:v>1898</x:v>
      </x:c>
      <x:c r="H22" s="18" t="n">
        <x:v>124</x:v>
      </x:c>
      <x:c r="I22" s="20" t="n">
        <x:v>81.78823504027423</x:v>
      </x:c>
      <x:c r="J22" s="20" t="n">
        <x:v>5.35</x:v>
      </x:c>
      <x:c r="K22" s="18" t="n">
        <x:v>140</x:v>
      </x:c>
      <x:c r="L22" s="18" t="n">
        <x:v>119</x:v>
      </x:c>
      <x:c r="M22" s="18" t="n">
        <x:v>8</x:v>
      </x:c>
      <x:c r="N22" s="18" t="n">
        <x:v>4</x:v>
      </x:c>
      <x:c r="O22" s="22" t="n">
        <x:v>315006698.5383834</x:v>
      </x:c>
      <x:c r="P22" s="22" t="n">
        <x:v>188928533.99317586</x:v>
      </x:c>
      <x:c r="Q22" s="22" t="n">
        <x:v>36750781.49614472</x:v>
      </x:c>
      <x:c r="R22" s="22" t="n">
        <x:v>66494658.99223454</x:v>
      </x:c>
      <x:c r="S22" s="24" t="n">
        <x:v>0.28700000000000003</x:v>
      </x:c>
      <x:c r="T22" s="20" t="n">
        <x:v>3.8200000000000003</x:v>
      </x:c>
      <x:c r="U22" s="22" t="n">
        <x:v>95373964.1317263</x:v>
      </x:c>
      <x:c r="V22" s="22" t="n">
        <x:v>550310473.381089</x:v>
      </x:c>
      <x:c r="W22" s="22" t="n">
        <x:v>4681294200.640809</x:v>
      </x:c>
      <x:c r="X22" s="22" t="n">
        <x:v>910641633390.0223</x:v>
      </x:c>
      <x:c r="Y22" s="22" t="n">
        <x:v>17624959096.143227</x:v>
      </x:c>
      <x:c r="Z22" s="22" t="n">
        <x:v>37619965862.48708</x:v>
      </x:c>
      <x:c r="AA22" s="22" t="n">
        <x:v>810122271.8109802</x:v>
      </x:c>
      <x:c r="AB22" s="22" t="n">
        <x:v>948261599252.5098</x:v>
      </x:c>
      <x:c r="AC22" s="22" t="n">
        <x:v>18435081367.9542</x:v>
      </x:c>
      <x:c r="AD22" s="18" t="n">
        <x:v>140</x:v>
      </x:c>
      <x:c r="AE22" s="18" t="n">
        <x:v>140</x:v>
      </x:c>
      <x:c r="AF22" s="18" t="n">
        <x:v>129</x:v>
      </x:c>
      <x:c r="AG22" s="18" t="n">
        <x:v>127</x:v>
      </x:c>
      <x:c r="AH22" s="18" t="n">
        <x:v>119</x:v>
      </x:c>
      <x:c r="AI22" s="18" t="n">
        <x:v>119</x:v>
      </x:c>
      <x:c r="AJ22" s="18" t="n">
        <x:v>108</x:v>
      </x:c>
      <x:c r="AK22" s="18" t="n">
        <x:v>105</x:v>
      </x:c>
      <x:c r="AL22" s="22" t="n">
        <x:v>795742259.1289816</x:v>
      </x:c>
      <x:c r="AM22" s="22" t="n">
        <x:v>4849160.1748156445</x:v>
      </x:c>
      <x:c r="AN22" s="22" t="n">
        <x:v>10471315383.63039</x:v>
      </x:c>
      <x:c r="AO22" s="22" t="n">
        <x:v>872609615.3025318</x:v>
      </x:c>
      <x:c r="AP22" s="22" t="n">
        <x:v>40009993.894744754</x:v>
      </x:c>
      <x:c r="AQ22" s="18" t="n">
        <x:v>215</x:v>
      </x:c>
      <x:c r="AR22" s="18" t="n">
        <x:v>7</x:v>
      </x:c>
      <x:c r="AS22" s="18" t="n">
        <x:v>34</x:v>
      </x:c>
      <x:c r="AT22" s="18" t="n">
        <x:v>34</x:v>
      </x:c>
    </x:row>
    <x:row r="23" ht="25" customHeight="1">
      <x:c r="A23" s="19" t="str">
        <x:v>hourly_balanced</x:v>
      </x:c>
      <x:c r="B23" s="19" t="n">
        <x:v>16</x:v>
      </x:c>
      <x:c r="C23" s="19" t="n">
        <x:v>1</x:v>
      </x:c>
      <x:c r="D23" s="19" t="n">
        <x:v>215</x:v>
      </x:c>
      <x:c r="E23" s="19" t="n">
        <x:v>216</x:v>
      </x:c>
      <x:c r="F23" s="19" t="n">
        <x:v>143</x:v>
      </x:c>
      <x:c r="G23" s="19" t="n">
        <x:v>1897</x:v>
      </x:c>
      <x:c r="H23" s="19" t="n">
        <x:v>122</x:v>
      </x:c>
      <x:c r="I23" s="21" t="n">
        <x:v>85.50395695414772</x:v>
      </x:c>
      <x:c r="J23" s="21" t="n">
        <x:v>5.35</x:v>
      </x:c>
      <x:c r="K23" s="19" t="n">
        <x:v>138</x:v>
      </x:c>
      <x:c r="L23" s="19" t="n">
        <x:v>118</x:v>
      </x:c>
      <x:c r="M23" s="19" t="n">
        <x:v>8</x:v>
      </x:c>
      <x:c r="N23" s="19" t="n">
        <x:v>1</x:v>
      </x:c>
      <x:c r="O23" s="23" t="n">
        <x:v>264131262.575386</x:v>
      </x:c>
      <x:c r="P23" s="23" t="n">
        <x:v>264131262.575386</x:v>
      </x:c>
      <x:c r="Q23" s="23" t="n">
        <x:v>30815313.967128355</x:v>
      </x:c>
      <x:c r="R23" s="23" t="n">
        <x:v>55319651.63378883</x:v>
      </x:c>
      <x:c r="S23" s="25" t="n">
        <x:v>0.28400000000000003</x:v>
      </x:c>
      <x:c r="T23" s="21" t="n">
        <x:v>3.8</x:v>
      </x:c>
      <x:c r="U23" s="23" t="n">
        <x:v>237289624.23735762</x:v>
      </x:c>
      <x:c r="V23" s="23" t="n">
        <x:v>438704140.13160723</x:v>
      </x:c>
      <x:c r="W23" s="23" t="n">
        <x:v>3893157083.6674128</x:v>
      </x:c>
      <x:c r="X23" s="23" t="n">
        <x:v>698673437601.2808</x:v>
      </x:c>
      <x:c r="Y23" s="23" t="n">
        <x:v>16145385600.599934</x:v>
      </x:c>
      <x:c r="Z23" s="23" t="n">
        <x:v>28921966270.92501</x:v>
      </x:c>
      <x:c r="AA23" s="23" t="n">
        <x:v>708651585.5305448</x:v>
      </x:c>
      <x:c r="AB23" s="23" t="n">
        <x:v>727595403872.2065</x:v>
      </x:c>
      <x:c r="AC23" s="23" t="n">
        <x:v>16854037186.130459</x:v>
      </x:c>
      <x:c r="AD23" s="19" t="n">
        <x:v>138</x:v>
      </x:c>
      <x:c r="AE23" s="19" t="n">
        <x:v>138</x:v>
      </x:c>
      <x:c r="AF23" s="19" t="n">
        <x:v>127</x:v>
      </x:c>
      <x:c r="AG23" s="19" t="n">
        <x:v>125</x:v>
      </x:c>
      <x:c r="AH23" s="19" t="n">
        <x:v>118</x:v>
      </x:c>
      <x:c r="AI23" s="19" t="n">
        <x:v>118</x:v>
      </x:c>
      <x:c r="AJ23" s="19" t="n">
        <x:v>107</x:v>
      </x:c>
      <x:c r="AK23" s="19" t="n">
        <x:v>105</x:v>
      </x:c>
      <x:c r="AL23" s="23" t="n">
        <x:v>682220729.705918</x:v>
      </x:c>
      <x:c r="AM23" s="23" t="n">
        <x:v>4275307.081765654</x:v>
      </x:c>
      <x:c r="AN23" s="23" t="n">
        <x:v>8653979655.892906</x:v>
      </x:c>
      <x:c r="AO23" s="23" t="n">
        <x:v>721164971.3244084</x:v>
      </x:c>
      <x:c r="AP23" s="23" t="n">
        <x:v>34946278.185644805</x:v>
      </x:c>
      <x:c r="AQ23" s="19" t="n">
        <x:v>221</x:v>
      </x:c>
      <x:c r="AR23" s="19" t="n">
        <x:v>6</x:v>
      </x:c>
      <x:c r="AS23" s="19" t="n">
        <x:v>37</x:v>
      </x:c>
      <x:c r="AT23" s="19" t="n">
        <x:v>37</x:v>
      </x:c>
    </x:row>
    <x:row r="24" ht="25" customHeight="1">
      <x:c r="A24" s="18" t="str">
        <x:v>hourly_balanced</x:v>
      </x:c>
      <x:c r="B24" s="18" t="n">
        <x:v>17</x:v>
      </x:c>
      <x:c r="C24" s="18" t="n">
        <x:v>1</x:v>
      </x:c>
      <x:c r="D24" s="18" t="n">
        <x:v>218</x:v>
      </x:c>
      <x:c r="E24" s="18" t="n">
        <x:v>219</x:v>
      </x:c>
      <x:c r="F24" s="18" t="n">
        <x:v>145</x:v>
      </x:c>
      <x:c r="G24" s="18" t="n">
        <x:v>1892</x:v>
      </x:c>
      <x:c r="H24" s="18" t="n">
        <x:v>124</x:v>
      </x:c>
      <x:c r="I24" s="20" t="n">
        <x:v>82.43966745299804</x:v>
      </x:c>
      <x:c r="J24" s="20" t="n">
        <x:v>5.35</x:v>
      </x:c>
      <x:c r="K24" s="18" t="n">
        <x:v>140</x:v>
      </x:c>
      <x:c r="L24" s="18" t="n">
        <x:v>120</x:v>
      </x:c>
      <x:c r="M24" s="18" t="n">
        <x:v>8</x:v>
      </x:c>
      <x:c r="N24" s="18" t="n">
        <x:v>1</x:v>
      </x:c>
      <x:c r="O24" s="22" t="n">
        <x:v>330757033.46530277</x:v>
      </x:c>
      <x:c r="P24" s="22" t="n">
        <x:v>330757033.46530277</x:v>
      </x:c>
      <x:c r="Q24" s="22" t="n">
        <x:v>38588320.570951976</x:v>
      </x:c>
      <x:c r="R24" s="22" t="n">
        <x:v>70039345.36910069</x:v>
      </x:c>
      <x:c r="S24" s="24" t="n">
        <x:v>0.28800000000000003</x:v>
      </x:c>
      <x:c r="T24" s="20" t="n">
        <x:v>3.83</x:v>
      </x:c>
      <x:c r="U24" s="22" t="n">
        <x:v>282976468.82671404</x:v>
      </x:c>
      <x:c r="V24" s="22" t="n">
        <x:v>550310473.381089</x:v>
      </x:c>
      <x:c r="W24" s="22" t="n">
        <x:v>4868896705.335794</x:v>
      </x:c>
      <x:c r="X24" s="22" t="n">
        <x:v>967220812252.8463</x:v>
      </x:c>
      <x:c r="Y24" s="22" t="n">
        <x:v>18448741298.135014</x:v>
      </x:c>
      <x:c r="Z24" s="22" t="n">
        <x:v>37619965862.48708</x:v>
      </x:c>
      <x:c r="AA24" s="22" t="n">
        <x:v>940146902.4366461</x:v>
      </x:c>
      <x:c r="AB24" s="22" t="n">
        <x:v>1004840778115.3348</x:v>
      </x:c>
      <x:c r="AC24" s="22" t="n">
        <x:v>19388888200.571667</x:v>
      </x:c>
      <x:c r="AD24" s="18" t="n">
        <x:v>140</x:v>
      </x:c>
      <x:c r="AE24" s="18" t="n">
        <x:v>140</x:v>
      </x:c>
      <x:c r="AF24" s="18" t="n">
        <x:v>129</x:v>
      </x:c>
      <x:c r="AG24" s="18" t="n">
        <x:v>127</x:v>
      </x:c>
      <x:c r="AH24" s="18" t="n">
        <x:v>120</x:v>
      </x:c>
      <x:c r="AI24" s="18" t="n">
        <x:v>120</x:v>
      </x:c>
      <x:c r="AJ24" s="18" t="n">
        <x:v>109</x:v>
      </x:c>
      <x:c r="AK24" s="18" t="n">
        <x:v>106</x:v>
      </x:c>
      <x:c r="AL24" s="22" t="n">
        <x:v>859401639.8592979</x:v>
      </x:c>
      <x:c r="AM24" s="22" t="n">
        <x:v>5164355.586178665</x:v>
      </x:c>
      <x:c r="AN24" s="22" t="n">
        <x:v>11518446921.993437</x:v>
      </x:c>
      <x:c r="AO24" s="22" t="n">
        <x:v>959870576.8327857</x:v>
      </x:c>
      <x:c r="AP24" s="22" t="n">
        <x:v>42810693.467376895</x:v>
      </x:c>
      <x:c r="AQ24" s="18" t="n">
        <x:v>221</x:v>
      </x:c>
      <x:c r="AR24" s="18" t="n">
        <x:v>6</x:v>
      </x:c>
      <x:c r="AS24" s="18" t="n">
        <x:v>36</x:v>
      </x:c>
      <x:c r="AT24" s="18" t="n">
        <x:v>36</x:v>
      </x:c>
    </x:row>
    <x:row r="25" ht="25" customHeight="1">
      <x:c r="A25" s="19" t="str">
        <x:v>hourly_balanced</x:v>
      </x:c>
      <x:c r="B25" s="19" t="n">
        <x:v>18</x:v>
      </x:c>
      <x:c r="C25" s="19" t="n">
        <x:v>1</x:v>
      </x:c>
      <x:c r="D25" s="19" t="n">
        <x:v>214</x:v>
      </x:c>
      <x:c r="E25" s="19" t="n">
        <x:v>215</x:v>
      </x:c>
      <x:c r="F25" s="19" t="n">
        <x:v>143</x:v>
      </x:c>
      <x:c r="G25" s="19" t="n">
        <x:v>1900</x:v>
      </x:c>
      <x:c r="H25" s="19" t="n">
        <x:v>123</x:v>
      </x:c>
      <x:c r="I25" s="21" t="n">
        <x:v>83.52337113313297</x:v>
      </x:c>
      <x:c r="J25" s="21" t="n">
        <x:v>6.35</x:v>
      </x:c>
      <x:c r="K25" s="19" t="n">
        <x:v>139</x:v>
      </x:c>
      <x:c r="L25" s="19" t="n">
        <x:v>117</x:v>
      </x:c>
      <x:c r="M25" s="19" t="n">
        <x:v>8</x:v>
      </x:c>
      <x:c r="N25" s="19" t="n">
        <x:v>1</x:v>
      </x:c>
      <x:c r="O25" s="23" t="n">
        <x:v>264131262.575386</x:v>
      </x:c>
      <x:c r="P25" s="23" t="n">
        <x:v>236030652.64828882</x:v>
      </x:c>
      <x:c r="Q25" s="23" t="n">
        <x:v>30815313.967128355</x:v>
      </x:c>
      <x:c r="R25" s="23" t="n">
        <x:v>55232136.14212213</x:v>
      </x:c>
      <x:c r="S25" s="25" t="n">
        <x:v>0.28400000000000003</x:v>
      </x:c>
      <x:c r="T25" s="21" t="n">
        <x:v>3.79</x:v>
      </x:c>
      <x:c r="U25" s="23" t="n">
        <x:v>186751095.6401773</x:v>
      </x:c>
      <x:c r="V25" s="23" t="n">
        <x:v>438704140.13160723</x:v>
      </x:c>
      <x:c r="W25" s="23" t="n">
        <x:v>3842618555.070225</x:v>
      </x:c>
      <x:c r="X25" s="23" t="n">
        <x:v>673204373746.0973</x:v>
      </x:c>
      <x:c r="Y25" s="23" t="n">
        <x:v>16548143426.93162</x:v>
      </x:c>
      <x:c r="Z25" s="23" t="n">
        <x:v>32985502636.990044</x:v>
      </x:c>
      <x:c r="AA25" s="23" t="n">
        <x:v>601534132.6327243</x:v>
      </x:c>
      <x:c r="AB25" s="23" t="n">
        <x:v>706189876383.0873</x:v>
      </x:c>
      <x:c r="AC25" s="23" t="n">
        <x:v>17149677559.564371</x:v>
      </x:c>
      <x:c r="AD25" s="19" t="n">
        <x:v>139</x:v>
      </x:c>
      <x:c r="AE25" s="19" t="n">
        <x:v>139</x:v>
      </x:c>
      <x:c r="AF25" s="19" t="n">
        <x:v>128</x:v>
      </x:c>
      <x:c r="AG25" s="19" t="n">
        <x:v>126</x:v>
      </x:c>
      <x:c r="AH25" s="19" t="n">
        <x:v>117</x:v>
      </x:c>
      <x:c r="AI25" s="19" t="n">
        <x:v>117</x:v>
      </x:c>
      <x:c r="AJ25" s="19" t="n">
        <x:v>106</x:v>
      </x:c>
      <x:c r="AK25" s="19" t="n">
        <x:v>103</x:v>
      </x:c>
      <x:c r="AL25" s="23" t="n">
        <x:v>631685860.838812</x:v>
      </x:c>
      <x:c r="AM25" s="23" t="n">
        <x:v>4014372.8467283105</x:v>
      </x:c>
      <x:c r="AN25" s="23" t="n">
        <x:v>7867254232.6299095</x:v>
      </x:c>
      <x:c r="AO25" s="23" t="n">
        <x:v>655604519.3858253</x:v>
      </x:c>
      <x:c r="AP25" s="23" t="n">
        <x:v>32660073.070696075</x:v>
      </x:c>
      <x:c r="AQ25" s="19" t="n">
        <x:v>218</x:v>
      </x:c>
      <x:c r="AR25" s="19" t="n">
        <x:v>7</x:v>
      </x:c>
      <x:c r="AS25" s="19" t="n">
        <x:v>34</x:v>
      </x:c>
      <x:c r="AT25" s="19" t="n">
        <x:v>34</x:v>
      </x:c>
    </x:row>
    <x:row r="26" ht="25" customHeight="1">
      <x:c r="A26" s="18" t="str">
        <x:v>hourly_balanced</x:v>
      </x:c>
      <x:c r="B26" s="18" t="n">
        <x:v>19</x:v>
      </x:c>
      <x:c r="C26" s="18" t="n">
        <x:v>1</x:v>
      </x:c>
      <x:c r="D26" s="18" t="n">
        <x:v>212</x:v>
      </x:c>
      <x:c r="E26" s="18" t="n">
        <x:v>213</x:v>
      </x:c>
      <x:c r="F26" s="18" t="n">
        <x:v>142</x:v>
      </x:c>
      <x:c r="G26" s="18" t="n">
        <x:v>1880</x:v>
      </x:c>
      <x:c r="H26" s="18" t="n">
        <x:v>127</x:v>
      </x:c>
      <x:c r="I26" s="20" t="n">
        <x:v>81.98567992103199</x:v>
      </x:c>
      <x:c r="J26" s="20" t="n">
        <x:v>6.35</x:v>
      </x:c>
      <x:c r="K26" s="18" t="n">
        <x:v>137</x:v>
      </x:c>
      <x:c r="L26" s="18" t="n">
        <x:v>116</x:v>
      </x:c>
      <x:c r="M26" s="18" t="n">
        <x:v>8</x:v>
      </x:c>
      <x:c r="N26" s="18" t="n">
        <x:v>4</x:v>
      </x:c>
      <x:c r="O26" s="22" t="n">
        <x:v>224794596.61104244</x:v>
      </x:c>
      <x:c r="P26" s="22" t="n">
        <x:v>132772560.40576029</x:v>
      </x:c>
      <x:c r="Q26" s="22" t="n">
        <x:v>26226036.271288224</x:v>
      </x:c>
      <x:c r="R26" s="22" t="n">
        <x:v>46565900.96184854</x:v>
      </x:c>
      <x:c r="S26" s="24" t="n">
        <x:v>0.281</x:v>
      </x:c>
      <x:c r="T26" s="20" t="n">
        <x:v>3.76</x:v>
      </x:c>
      <x:c r="U26" s="22" t="n">
        <x:v>229277312.65334702</x:v>
      </x:c>
      <x:c r="V26" s="22" t="n">
        <x:v>391700125.11750776</x:v>
      </x:c>
      <x:c r="W26" s="22" t="n">
        <x:v>3493444646.9659095</x:v>
      </x:c>
      <x:c r="X26" s="22" t="n">
        <x:v>599987811244.2224</x:v>
      </x:c>
      <x:c r="Y26" s="22" t="n">
        <x:v>15436943793.199362</x:v>
      </x:c>
      <x:c r="Z26" s="22" t="n">
        <x:v>25359023380.907497</x:v>
      </x:c>
      <x:c r="AA26" s="22" t="n">
        <x:v>518340479.64905137</x:v>
      </x:c>
      <x:c r="AB26" s="22" t="n">
        <x:v>625346834625.1304</x:v>
      </x:c>
      <x:c r="AC26" s="22" t="n">
        <x:v>15955284272.848417</x:v>
      </x:c>
      <x:c r="AD26" s="18" t="n">
        <x:v>137</x:v>
      </x:c>
      <x:c r="AE26" s="18" t="n">
        <x:v>137</x:v>
      </x:c>
      <x:c r="AF26" s="18" t="n">
        <x:v>126</x:v>
      </x:c>
      <x:c r="AG26" s="18" t="n">
        <x:v>124</x:v>
      </x:c>
      <x:c r="AH26" s="18" t="n">
        <x:v>116</x:v>
      </x:c>
      <x:c r="AI26" s="18" t="n">
        <x:v>116</x:v>
      </x:c>
      <x:c r="AJ26" s="18" t="n">
        <x:v>105</x:v>
      </x:c>
      <x:c r="AK26" s="18" t="n">
        <x:v>102</x:v>
      </x:c>
      <x:c r="AL26" s="22" t="n">
        <x:v>541568810.732862</x:v>
      </x:c>
      <x:c r="AM26" s="22" t="n">
        <x:v>3539309.0848185443</x:v>
      </x:c>
      <x:c r="AN26" s="22" t="n">
        <x:v>6501863002.173469</x:v>
      </x:c>
      <x:c r="AO26" s="22" t="n">
        <x:v>541821916.8477887</x:v>
      </x:c>
      <x:c r="AP26" s="22" t="n">
        <x:v>28526572.688178934</x:v>
      </x:c>
      <x:c r="AQ26" s="18" t="n">
        <x:v>212</x:v>
      </x:c>
      <x:c r="AR26" s="18" t="n">
        <x:v>6</x:v>
      </x:c>
      <x:c r="AS26" s="18" t="n">
        <x:v>33</x:v>
      </x:c>
      <x:c r="AT26" s="18" t="n">
        <x:v>34</x:v>
      </x:c>
    </x:row>
    <x:row r="27" ht="25" customHeight="1">
      <x:c r="A27" s="19" t="str">
        <x:v>hourly_balanced</x:v>
      </x:c>
      <x:c r="B27" s="19" t="n">
        <x:v>20</x:v>
      </x:c>
      <x:c r="C27" s="19" t="n">
        <x:v>1</x:v>
      </x:c>
      <x:c r="D27" s="19" t="n">
        <x:v>215</x:v>
      </x:c>
      <x:c r="E27" s="19" t="n">
        <x:v>215</x:v>
      </x:c>
      <x:c r="F27" s="19" t="n">
        <x:v>142</x:v>
      </x:c>
      <x:c r="G27" s="19" t="n">
        <x:v>1897</x:v>
      </x:c>
      <x:c r="H27" s="19" t="n">
        <x:v>123</x:v>
      </x:c>
      <x:c r="I27" s="21" t="n">
        <x:v>84.03439359003642</x:v>
      </x:c>
      <x:c r="J27" s="21" t="n">
        <x:v>5.35</x:v>
      </x:c>
      <x:c r="K27" s="19" t="n">
        <x:v>137</x:v>
      </x:c>
      <x:c r="L27" s="19" t="n">
        <x:v>118</x:v>
      </x:c>
      <x:c r="M27" s="19" t="n">
        <x:v>8</x:v>
      </x:c>
      <x:c r="N27" s="19" t="n">
        <x:v>1</x:v>
      </x:c>
      <x:c r="O27" s="23" t="n">
        <x:v>247836042.76367453</x:v>
      </x:c>
      <x:c r="P27" s="23" t="n">
        <x:v>53941834.266697586</x:v>
      </x:c>
      <x:c r="Q27" s="23" t="n">
        <x:v>28914204.989095293</x:v>
      </x:c>
      <x:c r="R27" s="23" t="n">
        <x:v>51662166.62221614</x:v>
      </x:c>
      <x:c r="S27" s="25" t="n">
        <x:v>0.28300000000000003</x:v>
      </x:c>
      <x:c r="T27" s="21" t="n">
        <x:v>3.7800000000000002</x:v>
      </x:c>
      <x:c r="U27" s="23" t="n">
        <x:v>381641858.2503868</x:v>
      </x:c>
      <x:c r="V27" s="23" t="n">
        <x:v>391700125.11750776</x:v>
      </x:c>
      <x:c r="W27" s="23" t="n">
        <x:v>3645809192.562947</x:v>
      </x:c>
      <x:c r="X27" s="23" t="n">
        <x:v>643991246693.2054</x:v>
      </x:c>
      <x:c r="Y27" s="23" t="n">
        <x:v>17141055395.39202</x:v>
      </x:c>
      <x:c r="Z27" s="23" t="n">
        <x:v>25359023380.907497</x:v>
      </x:c>
      <x:c r="AA27" s="23" t="n">
        <x:v>698080366.9202793</x:v>
      </x:c>
      <x:c r="AB27" s="23" t="n">
        <x:v>669350270074.1136</x:v>
      </x:c>
      <x:c r="AC27" s="23" t="n">
        <x:v>17839135762.312263</x:v>
      </x:c>
      <x:c r="AD27" s="19" t="n">
        <x:v>137</x:v>
      </x:c>
      <x:c r="AE27" s="19" t="n">
        <x:v>137</x:v>
      </x:c>
      <x:c r="AF27" s="19" t="n">
        <x:v>126</x:v>
      </x:c>
      <x:c r="AG27" s="19" t="n">
        <x:v>124</x:v>
      </x:c>
      <x:c r="AH27" s="19" t="n">
        <x:v>118</x:v>
      </x:c>
      <x:c r="AI27" s="19" t="n">
        <x:v>118</x:v>
      </x:c>
      <x:c r="AJ27" s="19" t="n">
        <x:v>107</x:v>
      </x:c>
      <x:c r="AK27" s="19" t="n">
        <x:v>104</x:v>
      </x:c>
      <x:c r="AL27" s="23" t="n">
        <x:v>682220729.705918</x:v>
      </x:c>
      <x:c r="AM27" s="23" t="n">
        <x:v>4275307.081765654</x:v>
      </x:c>
      <x:c r="AN27" s="23" t="n">
        <x:v>8653979655.892906</x:v>
      </x:c>
      <x:c r="AO27" s="23" t="n">
        <x:v>721164971.3244084</x:v>
      </x:c>
      <x:c r="AP27" s="23" t="n">
        <x:v>34946278.185644805</x:v>
      </x:c>
      <x:c r="AQ27" s="19" t="n">
        <x:v>226</x:v>
      </x:c>
      <x:c r="AR27" s="19" t="n">
        <x:v>6</x:v>
      </x:c>
      <x:c r="AS27" s="19" t="n">
        <x:v>38</x:v>
      </x:c>
      <x:c r="AT27" s="19" t="n">
        <x:v>36</x:v>
      </x:c>
    </x:row>
    <x:row r="28" ht="25" customHeight="1">
      <x:c r="A28" s="18" t="str">
        <x:v>hourly_balanced</x:v>
      </x:c>
      <x:c r="B28" s="18" t="n">
        <x:v>1</x:v>
      </x:c>
      <x:c r="C28" s="18" t="n">
        <x:v>2</x:v>
      </x:c>
      <x:c r="D28" s="18" t="n">
        <x:v>548</x:v>
      </x:c>
      <x:c r="E28" s="18" t="n">
        <x:v>548</x:v>
      </x:c>
      <x:c r="F28" s="18" t="n">
        <x:v>338</x:v>
      </x:c>
      <x:c r="G28" s="18" t="n">
        <x:v>3634</x:v>
      </x:c>
      <x:c r="H28" s="18" t="n">
        <x:v>132</x:v>
      </x:c>
      <x:c r="I28" s="20" t="n">
        <x:v>96.22784516852334</x:v>
      </x:c>
      <x:c r="J28" s="20" t="n">
        <x:v>4.35</x:v>
      </x:c>
      <x:c r="K28" s="18" t="n">
        <x:v>368</x:v>
      </x:c>
      <x:c r="L28" s="18" t="n">
        <x:v>322</x:v>
      </x:c>
      <x:c r="M28" s="18" t="n">
        <x:v>16</x:v>
      </x:c>
      <x:c r="N28" s="18" t="n">
        <x:v>3</x:v>
      </x:c>
      <x:c r="O28" s="22" t="n">
        <x:v>7565782329163145000</x:v>
      </x:c>
      <x:c r="P28" s="22" t="n">
        <x:v>7210367894101405000</x:v>
      </x:c>
      <x:c r="Q28" s="22" t="n">
        <x:v>882674605069033300</x:v>
      </x:c>
      <x:c r="R28" s="22" t="n">
        <x:v>5401386017783135000</x:v>
      </x:c>
      <x:c r="S28" s="24" t="n">
        <x:v>0.718</x:v>
      </x:c>
      <x:c r="T28" s="20" t="n">
        <x:v>8.13</x:v>
      </x:c>
      <x:c r="U28" s="22" t="n">
        <x:v>1162568038404638000</x:v>
      </x:c>
      <x:c r="V28" s="22" t="n">
        <x:v>1736545446771664400</x:v>
      </x:c>
      <x:c r="W28" s="22" t="n">
        <x:v>15633780094835214000</x:v>
      </x:c>
      <x:c r="X28" s="22" t="n">
        <x:v>2.69597677919153e+25</x:v>
      </x:c>
      <x:c r="Y28" s="22" t="n">
        <x:v>6.69772258379017e+23</x:v>
      </x:c>
      <x:c r="Z28" s="22" t="n">
        <x:v>3.918721840895594e+23</x:v>
      </x:c>
      <x:c r="AA28" s="22" t="n">
        <x:v>1.075263700228149e+22</x:v>
      </x:c>
      <x:c r="AB28" s="22" t="n">
        <x:v>2.7351639976004964e+25</x:v>
      </x:c>
      <x:c r="AC28" s="22" t="n">
        <x:v>6.80524895381299e+23</x:v>
      </x:c>
      <x:c r="AD28" s="18" t="n">
        <x:v>368</x:v>
      </x:c>
      <x:c r="AE28" s="18" t="n">
        <x:v>368</x:v>
      </x:c>
      <x:c r="AF28" s="18" t="n">
        <x:v>357</x:v>
      </x:c>
      <x:c r="AG28" s="18" t="n">
        <x:v>355</x:v>
      </x:c>
      <x:c r="AH28" s="18" t="n">
        <x:v>322</x:v>
      </x:c>
      <x:c r="AI28" s="18" t="n">
        <x:v>322</x:v>
      </x:c>
      <x:c r="AJ28" s="18" t="n">
        <x:v>311</x:v>
      </x:c>
      <x:c r="AK28" s="18" t="n">
        <x:v>308</x:v>
      </x:c>
      <x:c r="AL28" s="22" t="n">
        <x:v>92052479013355910000</x:v>
      </x:c>
      <x:c r="AM28" s="22" t="n">
        <x:v>5475032521017610</x:v>
      </x:c>
      <x:c r="AN28" s="22" t="n">
        <x:v>5.259930763817684e+23</x:v>
      </x:c>
      <x:c r="AO28" s="22" t="n">
        <x:v>4.383275636514734e+22</x:v>
      </x:c>
      <x:c r="AP28" s="22" t="n">
        <x:v>212911391788106940</x:v>
      </x:c>
      <x:c r="AQ28" s="18" t="n">
        <x:v>227</x:v>
      </x:c>
      <x:c r="AR28" s="18" t="n">
        <x:v>0</x:v>
      </x:c>
      <x:c r="AS28" s="18" t="n">
        <x:v>45</x:v>
      </x:c>
      <x:c r="AT28" s="18" t="n">
        <x:v>45</x:v>
      </x:c>
    </x:row>
    <x:row r="29" ht="25" customHeight="1">
      <x:c r="A29" s="19" t="str">
        <x:v>hourly_balanced</x:v>
      </x:c>
      <x:c r="B29" s="19" t="n">
        <x:v>2</x:v>
      </x:c>
      <x:c r="C29" s="19" t="n">
        <x:v>2</x:v>
      </x:c>
      <x:c r="D29" s="19" t="n">
        <x:v>551</x:v>
      </x:c>
      <x:c r="E29" s="19" t="n">
        <x:v>551</x:v>
      </x:c>
      <x:c r="F29" s="19" t="n">
        <x:v>340</x:v>
      </x:c>
      <x:c r="G29" s="19" t="n">
        <x:v>3623</x:v>
      </x:c>
      <x:c r="H29" s="19" t="n">
        <x:v>133</x:v>
      </x:c>
      <x:c r="I29" s="21" t="n">
        <x:v>91.41133699531565</x:v>
      </x:c>
      <x:c r="J29" s="21" t="n">
        <x:v>4.35</x:v>
      </x:c>
      <x:c r="K29" s="19" t="n">
        <x:v>370</x:v>
      </x:c>
      <x:c r="L29" s="19" t="n">
        <x:v>323</x:v>
      </x:c>
      <x:c r="M29" s="19" t="n">
        <x:v>16</x:v>
      </x:c>
      <x:c r="N29" s="19" t="n">
        <x:v>4</x:v>
      </x:c>
      <x:c r="O29" s="23" t="n">
        <x:v>9023059558084385000</x:v>
      </x:c>
      <x:c r="P29" s="23" t="n">
        <x:v>8646459034814739000</x:v>
      </x:c>
      <x:c r="Q29" s="23" t="n">
        <x:v>1052690281776520000</x:v>
      </x:c>
      <x:c r="R29" s="23" t="n">
        <x:v>6487056484808332000</x:v>
      </x:c>
      <x:c r="S29" s="25" t="n">
        <x:v>0.7210000000000001</x:v>
      </x:c>
      <x:c r="T29" s="21" t="n">
        <x:v>8.16</x:v>
      </x:c>
      <x:c r="U29" s="23" t="n">
        <x:v>1260189298776194300</x:v>
      </x:c>
      <x:c r="V29" s="23" t="n">
        <x:v>2178322608430379000</x:v>
      </x:c>
      <x:c r="W29" s="23" t="n">
        <x:v>19412877702362636000</x:v>
      </x:c>
      <x:c r="X29" s="23" t="n">
        <x:v>3.6595405664767174e+25</x:v>
      </x:c>
      <x:c r="Y29" s="23" t="n">
        <x:v>6.748589224034779e+23</x:v>
      </x:c>
      <x:c r="Z29" s="23" t="n">
        <x:v>5.097239227007019e+23</x:v>
      </x:c>
      <x:c r="AA29" s="23" t="n">
        <x:v>1.2478435241147742e+22</x:v>
      </x:c>
      <x:c r="AB29" s="23" t="n">
        <x:v>3.710512958746773e+25</x:v>
      </x:c>
      <x:c r="AC29" s="23" t="n">
        <x:v>6.87337357644626e+23</x:v>
      </x:c>
      <x:c r="AD29" s="19" t="n">
        <x:v>370</x:v>
      </x:c>
      <x:c r="AE29" s="19" t="n">
        <x:v>370</x:v>
      </x:c>
      <x:c r="AF29" s="19" t="n">
        <x:v>359</x:v>
      </x:c>
      <x:c r="AG29" s="19" t="n">
        <x:v>357</x:v>
      </x:c>
      <x:c r="AH29" s="19" t="n">
        <x:v>323</x:v>
      </x:c>
      <x:c r="AI29" s="19" t="n">
        <x:v>323</x:v>
      </x:c>
      <x:c r="AJ29" s="19" t="n">
        <x:v>312</x:v>
      </x:c>
      <x:c r="AK29" s="19" t="n">
        <x:v>309</x:v>
      </x:c>
      <x:c r="AL29" s="23" t="n">
        <x:v>115959612442873090000</x:v>
      </x:c>
      <x:c r="AM29" s="23" t="n">
        <x:v>6613563480626027</x:v>
      </x:c>
      <x:c r="AN29" s="23" t="n">
        <x:v>7.000967846641353e+23</x:v>
      </x:c>
      <x:c r="AO29" s="23" t="n">
        <x:v>5.834139872201124e+22</x:v>
      </x:c>
      <x:c r="AP29" s="23" t="n">
        <x:v>260825610130279100</x:v>
      </x:c>
      <x:c r="AQ29" s="19" t="n">
        <x:v>227</x:v>
      </x:c>
      <x:c r="AR29" s="19" t="n">
        <x:v>0</x:v>
      </x:c>
      <x:c r="AS29" s="19" t="n">
        <x:v>45</x:v>
      </x:c>
      <x:c r="AT29" s="19" t="n">
        <x:v>45</x:v>
      </x:c>
    </x:row>
    <x:row r="30" ht="25" customHeight="1">
      <x:c r="A30" s="18" t="str">
        <x:v>hourly_balanced</x:v>
      </x:c>
      <x:c r="B30" s="18" t="n">
        <x:v>3</x:v>
      </x:c>
      <x:c r="C30" s="18" t="n">
        <x:v>2</x:v>
      </x:c>
      <x:c r="D30" s="18" t="n">
        <x:v>553</x:v>
      </x:c>
      <x:c r="E30" s="18" t="n">
        <x:v>553</x:v>
      </x:c>
      <x:c r="F30" s="18" t="n">
        <x:v>341</x:v>
      </x:c>
      <x:c r="G30" s="18" t="n">
        <x:v>3615</x:v>
      </x:c>
      <x:c r="H30" s="18" t="n">
        <x:v>131</x:v>
      </x:c>
      <x:c r="I30" s="20" t="n">
        <x:v>92.9937122331612</x:v>
      </x:c>
      <x:c r="J30" s="20" t="n">
        <x:v>4.35</x:v>
      </x:c>
      <x:c r="K30" s="18" t="n">
        <x:v>371</x:v>
      </x:c>
      <x:c r="L30" s="18" t="n">
        <x:v>324</x:v>
      </x:c>
      <x:c r="M30" s="18" t="n">
        <x:v>16</x:v>
      </x:c>
      <x:c r="N30" s="18" t="n">
        <x:v>2</x:v>
      </x:c>
      <x:c r="O30" s="22" t="n">
        <x:v>10097142010229895000</x:v>
      </x:c>
      <x:c r="P30" s="22" t="n">
        <x:v>9676824423477641000</x:v>
      </x:c>
      <x:c r="Q30" s="22" t="n">
        <x:v>1177999901193487600</x:v>
      </x:c>
      <x:c r="R30" s="22" t="n">
        <x:v>7284704268984455000</x:v>
      </x:c>
      <x:c r="S30" s="24" t="n">
        <x:v>0.722</x:v>
      </x:c>
      <x:c r="T30" s="20" t="n">
        <x:v>8.18</x:v>
      </x:c>
      <x:c r="U30" s="22" t="n">
        <x:v>1297554182858659800</x:v>
      </x:c>
      <x:c r="V30" s="22" t="n">
        <x:v>2439721321442026500</x:v>
      </x:c>
      <x:c r="W30" s="22" t="n">
        <x:v>21628565194875570000</x:v>
      </x:c>
      <x:c r="X30" s="22" t="n">
        <x:v>4.263987620815058e+25</x:v>
      </x:c>
      <x:c r="Y30" s="22" t="n">
        <x:v>6.897363034432015e+23</x:v>
      </x:c>
      <x:c r="Z30" s="22" t="n">
        <x:v>5.6309637380338604e+23</x:v>
      </x:c>
      <x:c r="AA30" s="22" t="n">
        <x:v>1.470051715404513e+22</x:v>
      </x:c>
      <x:c r="AB30" s="22" t="n">
        <x:v>4.32029725819538e+25</x:v>
      </x:c>
      <x:c r="AC30" s="22" t="n">
        <x:v>7.044368205972459e+23</x:v>
      </x:c>
      <x:c r="AD30" s="18" t="n">
        <x:v>371</x:v>
      </x:c>
      <x:c r="AE30" s="18" t="n">
        <x:v>371</x:v>
      </x:c>
      <x:c r="AF30" s="18" t="n">
        <x:v>359</x:v>
      </x:c>
      <x:c r="AG30" s="18" t="n">
        <x:v>357</x:v>
      </x:c>
      <x:c r="AH30" s="18" t="n">
        <x:v>324</x:v>
      </x:c>
      <x:c r="AI30" s="18" t="n">
        <x:v>324</x:v>
      </x:c>
      <x:c r="AJ30" s="18" t="n">
        <x:v>313</x:v>
      </x:c>
      <x:c r="AK30" s="18" t="n">
        <x:v>311</x:v>
      </x:c>
      <x:c r="AL30" s="22" t="n">
        <x:v>135255291953367550000</x:v>
      </x:c>
      <x:c r="AM30" s="22" t="n">
        <x:v>7501269038813065</x:v>
      </x:c>
      <x:c r="AN30" s="22" t="n">
        <x:v>8.47117109443605e+23</x:v>
      </x:c>
      <x:c r="AO30" s="22" t="n">
        <x:v>7.05930924536337e+22</x:v>
      </x:c>
      <x:c r="AP30" s="22" t="n">
        <x:v>298619241038156700</x:v>
      </x:c>
      <x:c r="AQ30" s="18" t="n">
        <x:v>232</x:v>
      </x:c>
      <x:c r="AR30" s="18" t="n">
        <x:v>0</x:v>
      </x:c>
      <x:c r="AS30" s="18" t="n">
        <x:v>47</x:v>
      </x:c>
      <x:c r="AT30" s="18" t="n">
        <x:v>47</x:v>
      </x:c>
    </x:row>
    <x:row r="31" ht="25" customHeight="1">
      <x:c r="A31" s="19" t="str">
        <x:v>hourly_balanced</x:v>
      </x:c>
      <x:c r="B31" s="19" t="n">
        <x:v>4</x:v>
      </x:c>
      <x:c r="C31" s="19" t="n">
        <x:v>2</x:v>
      </x:c>
      <x:c r="D31" s="19" t="n">
        <x:v>551</x:v>
      </x:c>
      <x:c r="E31" s="19" t="n">
        <x:v>551</x:v>
      </x:c>
      <x:c r="F31" s="19" t="n">
        <x:v>340</x:v>
      </x:c>
      <x:c r="G31" s="19" t="n">
        <x:v>3633</x:v>
      </x:c>
      <x:c r="H31" s="19" t="n">
        <x:v>132</x:v>
      </x:c>
      <x:c r="I31" s="21" t="n">
        <x:v>94.53620130046693</x:v>
      </x:c>
      <x:c r="J31" s="21" t="n">
        <x:v>4.35</x:v>
      </x:c>
      <x:c r="K31" s="19" t="n">
        <x:v>370</x:v>
      </x:c>
      <x:c r="L31" s="19" t="n">
        <x:v>324</x:v>
      </x:c>
      <x:c r="M31" s="19" t="n">
        <x:v>16</x:v>
      </x:c>
      <x:c r="N31" s="19" t="n">
        <x:v>4</x:v>
      </x:c>
      <x:c r="O31" s="23" t="n">
        <x:v>9474212535988610000</x:v>
      </x:c>
      <x:c r="P31" s="23" t="n">
        <x:v>9106988990047894000</x:v>
      </x:c>
      <x:c r="Q31" s="23" t="n">
        <x:v>1105324795865346400</x:v>
      </x:c>
      <x:c r="R31" s="23" t="n">
        <x:v>6827303879613340000</x:v>
      </x:c>
      <x:c r="S31" s="25" t="n">
        <x:v>0.722</x:v>
      </x:c>
      <x:c r="T31" s="21" t="n">
        <x:v>8.17</x:v>
      </x:c>
      <x:c r="U31" s="23" t="n">
        <x:v>1260189248072698000</x:v>
      </x:c>
      <x:c r="V31" s="23" t="n">
        <x:v>2178322608430379000</x:v>
      </x:c>
      <x:c r="W31" s="23" t="n">
        <x:v>19412877651659186000</x:v>
      </x:c>
      <x:c r="X31" s="23" t="n">
        <x:v>3.6595405664680957e+25</x:v>
      </x:c>
      <x:c r="Y31" s="23" t="n">
        <x:v>5.9113464879291767e+23</x:v>
      </x:c>
      <x:c r="Z31" s="23" t="n">
        <x:v>5.097239227007019e+23</x:v>
      </x:c>
      <x:c r="AA31" s="23" t="n">
        <x:v>1.4481224097351917e+22</x:v>
      </x:c>
      <x:c r="AB31" s="23" t="n">
        <x:v>3.7105129587381527e+25</x:v>
      </x:c>
      <x:c r="AC31" s="23" t="n">
        <x:v>6.056158728902695e+23</x:v>
      </x:c>
      <x:c r="AD31" s="19" t="n">
        <x:v>370</x:v>
      </x:c>
      <x:c r="AE31" s="19" t="n">
        <x:v>370</x:v>
      </x:c>
      <x:c r="AF31" s="19" t="n">
        <x:v>359</x:v>
      </x:c>
      <x:c r="AG31" s="19" t="n">
        <x:v>357</x:v>
      </x:c>
      <x:c r="AH31" s="19" t="n">
        <x:v>324</x:v>
      </x:c>
      <x:c r="AI31" s="19" t="n">
        <x:v>324</x:v>
      </x:c>
      <x:c r="AJ31" s="19" t="n">
        <x:v>313</x:v>
      </x:c>
      <x:c r="AK31" s="19" t="n">
        <x:v>310</x:v>
      </x:c>
      <x:c r="AL31" s="23" t="n">
        <x:v>115959612442873090000</x:v>
      </x:c>
      <x:c r="AM31" s="23" t="n">
        <x:v>6613563480626027</x:v>
      </x:c>
      <x:c r="AN31" s="23" t="n">
        <x:v>7.000967846641353e+23</x:v>
      </x:c>
      <x:c r="AO31" s="23" t="n">
        <x:v>5.834139872201124e+22</x:v>
      </x:c>
      <x:c r="AP31" s="23" t="n">
        <x:v>260825610130279100</x:v>
      </x:c>
      <x:c r="AQ31" s="19" t="n">
        <x:v>230</x:v>
      </x:c>
      <x:c r="AR31" s="19" t="n">
        <x:v>0</x:v>
      </x:c>
      <x:c r="AS31" s="19" t="n">
        <x:v>46</x:v>
      </x:c>
      <x:c r="AT31" s="19" t="n">
        <x:v>46</x:v>
      </x:c>
    </x:row>
    <x:row r="32" ht="25" customHeight="1">
      <x:c r="A32" s="18" t="str">
        <x:v>hourly_balanced</x:v>
      </x:c>
      <x:c r="B32" s="18" t="n">
        <x:v>5</x:v>
      </x:c>
      <x:c r="C32" s="18" t="n">
        <x:v>2</x:v>
      </x:c>
      <x:c r="D32" s="18" t="n">
        <x:v>553</x:v>
      </x:c>
      <x:c r="E32" s="18" t="n">
        <x:v>553</x:v>
      </x:c>
      <x:c r="F32" s="18" t="n">
        <x:v>341</x:v>
      </x:c>
      <x:c r="G32" s="18" t="n">
        <x:v>3605</x:v>
      </x:c>
      <x:c r="H32" s="18" t="n">
        <x:v>127</x:v>
      </x:c>
      <x:c r="I32" s="20" t="n">
        <x:v>92.97016557125244</x:v>
      </x:c>
      <x:c r="J32" s="20" t="n">
        <x:v>4.35</x:v>
      </x:c>
      <x:c r="K32" s="18" t="n">
        <x:v>372</x:v>
      </x:c>
      <x:c r="L32" s="18" t="n">
        <x:v>324</x:v>
      </x:c>
      <x:c r="M32" s="18" t="n">
        <x:v>16</x:v>
      </x:c>
      <x:c r="N32" s="18" t="n">
        <x:v>5</x:v>
      </x:c>
      <x:c r="O32" s="22" t="n">
        <x:v>10601999110741395000</x:v>
      </x:c>
      <x:c r="P32" s="22" t="n">
        <x:v>9839672959934884000</x:v>
      </x:c>
      <x:c r="Q32" s="22" t="n">
        <x:v>1236899896253162500</x:v>
      </x:c>
      <x:c r="R32" s="22" t="n">
        <x:v>7675656520192784000</x:v>
      </x:c>
      <x:c r="S32" s="24" t="n">
        <x:v>0.724</x:v>
      </x:c>
      <x:c r="T32" s="20" t="n">
        <x:v>8.19</x:v>
      </x:c>
      <x:c r="U32" s="22" t="n">
        <x:v>2193411847666770400</x:v>
      </x:c>
      <x:c r="V32" s="22" t="n">
        <x:v>2439721321442026500</x:v>
      </x:c>
      <x:c r="W32" s="22" t="n">
        <x:v>22524422859683594000</x:v>
      </x:c>
      <x:c r="X32" s="22" t="n">
        <x:v>4.508130548752465e+25</x:v>
      </x:c>
      <x:c r="Y32" s="22" t="n">
        <x:v>6.808922581305204e+23</x:v>
      </x:c>
      <x:c r="Z32" s="22" t="n">
        <x:v>6.630184226446949e+23</x:v>
      </x:c>
      <x:c r="AA32" s="22" t="n">
        <x:v>1.4481224097351917e+22</x:v>
      </x:c>
      <x:c r="AB32" s="22" t="n">
        <x:v>4.574432391016952e+25</x:v>
      </x:c>
      <x:c r="AC32" s="22" t="n">
        <x:v>6.953734822278747e+23</x:v>
      </x:c>
      <x:c r="AD32" s="18" t="n">
        <x:v>372</x:v>
      </x:c>
      <x:c r="AE32" s="18" t="n">
        <x:v>372</x:v>
      </x:c>
      <x:c r="AF32" s="18" t="n">
        <x:v>361</x:v>
      </x:c>
      <x:c r="AG32" s="18" t="n">
        <x:v>359</x:v>
      </x:c>
      <x:c r="AH32" s="18" t="n">
        <x:v>324</x:v>
      </x:c>
      <x:c r="AI32" s="18" t="n">
        <x:v>324</x:v>
      </x:c>
      <x:c r="AJ32" s="18" t="n">
        <x:v>313</x:v>
      </x:c>
      <x:c r="AK32" s="18" t="n">
        <x:v>310</x:v>
      </x:c>
      <x:c r="AL32" s="22" t="n">
        <x:v>135255291953367550000</x:v>
      </x:c>
      <x:c r="AM32" s="22" t="n">
        <x:v>7501269038813065</x:v>
      </x:c>
      <x:c r="AN32" s="22" t="n">
        <x:v>8.47117109443605e+23</x:v>
      </x:c>
      <x:c r="AO32" s="22" t="n">
        <x:v>7.05930924536337e+22</x:v>
      </x:c>
      <x:c r="AP32" s="22" t="n">
        <x:v>298619241038156700</x:v>
      </x:c>
      <x:c r="AQ32" s="18" t="n">
        <x:v>224</x:v>
      </x:c>
      <x:c r="AR32" s="18" t="n">
        <x:v>0</x:v>
      </x:c>
      <x:c r="AS32" s="18" t="n">
        <x:v>44</x:v>
      </x:c>
      <x:c r="AT32" s="18" t="n">
        <x:v>44</x:v>
      </x:c>
    </x:row>
    <x:row r="33" ht="25" customHeight="1">
      <x:c r="A33" s="19" t="str">
        <x:v>hourly_balanced</x:v>
      </x:c>
      <x:c r="B33" s="19" t="n">
        <x:v>6</x:v>
      </x:c>
      <x:c r="C33" s="19" t="n">
        <x:v>2</x:v>
      </x:c>
      <x:c r="D33" s="19" t="n">
        <x:v>546</x:v>
      </x:c>
      <x:c r="E33" s="19" t="n">
        <x:v>546</x:v>
      </x:c>
      <x:c r="F33" s="19" t="n">
        <x:v>337</x:v>
      </x:c>
      <x:c r="G33" s="19" t="n">
        <x:v>3614</x:v>
      </x:c>
      <x:c r="H33" s="19" t="n">
        <x:v>136</x:v>
      </x:c>
      <x:c r="I33" s="21" t="n">
        <x:v>94.72110462367709</x:v>
      </x:c>
      <x:c r="J33" s="21" t="n">
        <x:v>5.35</x:v>
      </x:c>
      <x:c r="K33" s="19" t="n">
        <x:v>367</x:v>
      </x:c>
      <x:c r="L33" s="19" t="n">
        <x:v>318</x:v>
      </x:c>
      <x:c r="M33" s="19" t="n">
        <x:v>16</x:v>
      </x:c>
      <x:c r="N33" s="19" t="n">
        <x:v>2</x:v>
      </x:c>
      <x:c r="O33" s="23" t="n">
        <x:v>5840382684437463000</x:v>
      </x:c>
      <x:c r="P33" s="23" t="n">
        <x:v>5546914595356912000</x:v>
      </x:c>
      <x:c r="Q33" s="23" t="n">
        <x:v>681377979851037000</x:v>
      </x:c>
      <x:c r="R33" s="23" t="n">
        <x:v>4125859502254617600</x:v>
      </x:c>
      <x:c r="S33" s="25" t="n">
        <x:v>0.7130000000000001</x:v>
      </x:c>
      <x:c r="T33" s="21" t="n">
        <x:v>8.09</x:v>
      </x:c>
      <x:c r="U33" s="23" t="n">
        <x:v>548458797530426400</x:v>
      </x:c>
      <x:c r="V33" s="23" t="n">
        <x:v>1550487006046127900</x:v>
      </x:c>
      <x:c r="W33" s="23" t="n">
        <x:v>13469183847914860000</x:v>
      </x:c>
      <x:c r="X33" s="23" t="n">
        <x:v>2.182635928512875e+25</x:v>
      </x:c>
      <x:c r="Y33" s="23" t="n">
        <x:v>3.794621052249382e+23</x:v>
      </x:c>
      <x:c r="Z33" s="23" t="n">
        <x:v>3.4359682953929126e+23</x:v>
      </x:c>
      <x:c r="AA33" s="23" t="n">
        <x:v>6.018132488397419e+21</x:v>
      </x:c>
      <x:c r="AB33" s="23" t="n">
        <x:v>2.216995611466806e+25</x:v>
      </x:c>
      <x:c r="AC33" s="23" t="n">
        <x:v>3.854802377133366e+23</x:v>
      </x:c>
      <x:c r="AD33" s="19" t="n">
        <x:v>367</x:v>
      </x:c>
      <x:c r="AE33" s="19" t="n">
        <x:v>367</x:v>
      </x:c>
      <x:c r="AF33" s="19" t="n">
        <x:v>356</x:v>
      </x:c>
      <x:c r="AG33" s="19" t="n">
        <x:v>354</x:v>
      </x:c>
      <x:c r="AH33" s="19" t="n">
        <x:v>318</x:v>
      </x:c>
      <x:c r="AI33" s="19" t="n">
        <x:v>318</x:v>
      </x:c>
      <x:c r="AJ33" s="19" t="n">
        <x:v>307</x:v>
      </x:c>
      <x:c r="AK33" s="19" t="n">
        <x:v>305</x:v>
      </x:c>
      <x:c r="AL33" s="23" t="n">
        <x:v>78920163763164990000</x:v>
      </x:c>
      <x:c r="AM33" s="23" t="n">
        <x:v>4827113245623775</x:v>
      </x:c>
      <x:c r="AN33" s="23" t="n">
        <x:v>4.3470502180311375e+23</x:v>
      </x:c>
      <x:c r="AO33" s="23" t="n">
        <x:v>3.6225418483592786e+22</x:v>
      </x:c>
      <x:c r="AP33" s="23" t="n">
        <x:v>185965055278285100</x:v>
      </x:c>
      <x:c r="AQ33" s="19" t="n">
        <x:v>221</x:v>
      </x:c>
      <x:c r="AR33" s="19" t="n">
        <x:v>0</x:v>
      </x:c>
      <x:c r="AS33" s="19" t="n">
        <x:v>44</x:v>
      </x:c>
      <x:c r="AT33" s="19" t="n">
        <x:v>44</x:v>
      </x:c>
    </x:row>
    <x:row r="34" ht="25" customHeight="1">
      <x:c r="A34" s="18" t="str">
        <x:v>hourly_balanced</x:v>
      </x:c>
      <x:c r="B34" s="18" t="n">
        <x:v>7</x:v>
      </x:c>
      <x:c r="C34" s="18" t="n">
        <x:v>2</x:v>
      </x:c>
      <x:c r="D34" s="18" t="n">
        <x:v>556</x:v>
      </x:c>
      <x:c r="E34" s="18" t="n">
        <x:v>556</x:v>
      </x:c>
      <x:c r="F34" s="18" t="n">
        <x:v>343</x:v>
      </x:c>
      <x:c r="G34" s="18" t="n">
        <x:v>3647</x:v>
      </x:c>
      <x:c r="H34" s="18" t="n">
        <x:v>129</x:v>
      </x:c>
      <x:c r="I34" s="20" t="n">
        <x:v>92.81492864428219</x:v>
      </x:c>
      <x:c r="J34" s="20" t="n">
        <x:v>4.35</x:v>
      </x:c>
      <x:c r="K34" s="18" t="n">
        <x:v>373</x:v>
      </x:c>
      <x:c r="L34" s="18" t="n">
        <x:v>327</x:v>
      </x:c>
      <x:c r="M34" s="18" t="n">
        <x:v>16</x:v>
      </x:c>
      <x:c r="N34" s="18" t="n">
        <x:v>2</x:v>
      </x:c>
      <x:c r="O34" s="22" t="n">
        <x:v>13276299596189485000</x:v>
      </x:c>
      <x:c r="P34" s="22" t="n">
        <x:v>13027479425714310000</x:v>
      </x:c>
      <x:c r="Q34" s="22" t="n">
        <x:v>1548901619555439600</x:v>
      </x:c>
      <x:c r="R34" s="22" t="n">
        <x:v>9701452359988353000</x:v>
      </x:c>
      <x:c r="S34" s="24" t="n">
        <x:v>0.728</x:v>
      </x:c>
      <x:c r="T34" s="20" t="n">
        <x:v>8.23</x:v>
      </x:c>
      <x:c r="U34" s="22" t="n">
        <x:v>992702171728009900</x:v>
      </x:c>
      <x:c r="V34" s="22" t="n">
        <x:v>3060386425616882700</x:v>
      </x:c>
      <x:c r="W34" s="22" t="n">
        <x:v>26495922385201983000</x:v>
      </x:c>
      <x:c r="X34" s="22" t="n">
        <x:v>5.674698399550203e+25</x:v>
      </x:c>
      <x:c r="Y34" s="22" t="n">
        <x:v>1.5912478978767067e+24</x:v>
      </x:c>
      <x:c r="Z34" s="22" t="n">
        <x:v>7.561725110262702e+23</x:v>
      </x:c>
      <x:c r="AA34" s="22" t="n">
        <x:v>2.263292627185344e+22</x:v>
      </x:c>
      <x:c r="AB34" s="22" t="n">
        <x:v>5.750315650652842e+25</x:v>
      </x:c>
      <x:c r="AC34" s="22" t="n">
        <x:v>1.613880824148562e+24</x:v>
      </x:c>
      <x:c r="AD34" s="18" t="n">
        <x:v>373</x:v>
      </x:c>
      <x:c r="AE34" s="18" t="n">
        <x:v>373</x:v>
      </x:c>
      <x:c r="AF34" s="18" t="n">
        <x:v>362</x:v>
      </x:c>
      <x:c r="AG34" s="18" t="n">
        <x:v>360</x:v>
      </x:c>
      <x:c r="AH34" s="18" t="n">
        <x:v>327</x:v>
      </x:c>
      <x:c r="AI34" s="18" t="n">
        <x:v>327</x:v>
      </x:c>
      <x:c r="AJ34" s="18" t="n">
        <x:v>316</x:v>
      </x:c>
      <x:c r="AK34" s="18" t="n">
        <x:v>313</x:v>
      </x:c>
      <x:c r="AL34" s="22" t="n">
        <x:v>170382714337159870000</x:v>
      </x:c>
      <x:c r="AM34" s="22" t="n">
        <x:v>9061155122458352</x:v>
      </x:c>
      <x:c r="AN34" s="22" t="n">
        <x:v>1.1275128726694315e+24</x:v>
      </x:c>
      <x:c r="AO34" s="22" t="n">
        <x:v>9.39594060557859e+22</x:v>
      </x:c>
      <x:c r="AP34" s="22" t="n">
        <x:v>365821410899105300</x:v>
      </x:c>
      <x:c r="AQ34" s="18" t="n">
        <x:v>232</x:v>
      </x:c>
      <x:c r="AR34" s="18" t="n">
        <x:v>0</x:v>
      </x:c>
      <x:c r="AS34" s="18" t="n">
        <x:v>47</x:v>
      </x:c>
      <x:c r="AT34" s="18" t="n">
        <x:v>47</x:v>
      </x:c>
    </x:row>
    <x:row r="35" ht="25" customHeight="1">
      <x:c r="A35" s="19" t="str">
        <x:v>hourly_balanced</x:v>
      </x:c>
      <x:c r="B35" s="19" t="n">
        <x:v>8</x:v>
      </x:c>
      <x:c r="C35" s="19" t="n">
        <x:v>2</x:v>
      </x:c>
      <x:c r="D35" s="19" t="n">
        <x:v>552</x:v>
      </x:c>
      <x:c r="E35" s="19" t="n">
        <x:v>552</x:v>
      </x:c>
      <x:c r="F35" s="19" t="n">
        <x:v>340</x:v>
      </x:c>
      <x:c r="G35" s="19" t="n">
        <x:v>3615</x:v>
      </x:c>
      <x:c r="H35" s="19" t="n">
        <x:v>131</x:v>
      </x:c>
      <x:c r="I35" s="21" t="n">
        <x:v>94.1789825161286</x:v>
      </x:c>
      <x:c r="J35" s="21" t="n">
        <x:v>5.35</x:v>
      </x:c>
      <x:c r="K35" s="19" t="n">
        <x:v>370</x:v>
      </x:c>
      <x:c r="L35" s="19" t="n">
        <x:v>323</x:v>
      </x:c>
      <x:c r="M35" s="19" t="n">
        <x:v>16</x:v>
      </x:c>
      <x:c r="N35" s="19" t="n">
        <x:v>1</x:v>
      </x:c>
      <x:c r="O35" s="23" t="n">
        <x:v>9023059558084385000</x:v>
      </x:c>
      <x:c r="P35" s="23" t="n">
        <x:v>8429172813001907000</x:v>
      </x:c>
      <x:c r="Q35" s="23" t="n">
        <x:v>1052690281776520000</x:v>
      </x:c>
      <x:c r="R35" s="23" t="n">
        <x:v>6487056484808332000</x:v>
      </x:c>
      <x:c r="S35" s="25" t="n">
        <x:v>0.7210000000000001</x:v>
      </x:c>
      <x:c r="T35" s="21" t="n">
        <x:v>8.16</x:v>
      </x:c>
      <x:c r="U35" s="23" t="n">
        <x:v>1781841526706782500</x:v>
      </x:c>
      <x:c r="V35" s="23" t="n">
        <x:v>2178322608430379000</x:v>
      </x:c>
      <x:c r="W35" s="23" t="n">
        <x:v>19934529930293280000</x:v>
      </x:c>
      <x:c r="X35" s="23" t="n">
        <x:v>3.7995599241408862e+25</x:v>
      </x:c>
      <x:c r="Y35" s="23" t="n">
        <x:v>1.0710368493177418e+24</x:v>
      </x:c>
      <x:c r="Z35" s="23" t="n">
        <x:v>5.097239227007019e+23</x:v>
      </x:c>
      <x:c r="AA35" s="23" t="n">
        <x:v>1.2478435241147742e+22</x:v>
      </x:c>
      <x:c r="AB35" s="23" t="n">
        <x:v>3.8505323164109587e+25</x:v>
      </x:c>
      <x:c r="AC35" s="23" t="n">
        <x:v>1.083515284558885e+24</x:v>
      </x:c>
      <x:c r="AD35" s="19" t="n">
        <x:v>370</x:v>
      </x:c>
      <x:c r="AE35" s="19" t="n">
        <x:v>370</x:v>
      </x:c>
      <x:c r="AF35" s="19" t="n">
        <x:v>359</x:v>
      </x:c>
      <x:c r="AG35" s="19" t="n">
        <x:v>357</x:v>
      </x:c>
      <x:c r="AH35" s="19" t="n">
        <x:v>323</x:v>
      </x:c>
      <x:c r="AI35" s="19" t="n">
        <x:v>323</x:v>
      </x:c>
      <x:c r="AJ35" s="19" t="n">
        <x:v>312</x:v>
      </x:c>
      <x:c r="AK35" s="19" t="n">
        <x:v>309</x:v>
      </x:c>
      <x:c r="AL35" s="23" t="n">
        <x:v>125236381438303110000</x:v>
      </x:c>
      <x:c r="AM35" s="23" t="n">
        <x:v>7043445106866737</x:v>
      </x:c>
      <x:c r="AN35" s="23" t="n">
        <x:v>7.701064631305494e+23</x:v>
      </x:c>
      <x:c r="AO35" s="23" t="n">
        <x:v>6.417553859421241e+22</x:v>
      </x:c>
      <x:c r="AP35" s="23" t="n">
        <x:v>279083402839397570</x:v>
      </x:c>
      <x:c r="AQ35" s="19" t="n">
        <x:v>226</x:v>
      </x:c>
      <x:c r="AR35" s="19" t="n">
        <x:v>0</x:v>
      </x:c>
      <x:c r="AS35" s="19" t="n">
        <x:v>46</x:v>
      </x:c>
      <x:c r="AT35" s="19" t="n">
        <x:v>46</x:v>
      </x:c>
    </x:row>
    <x:row r="36" ht="25" customHeight="1">
      <x:c r="A36" s="18" t="str">
        <x:v>hourly_balanced</x:v>
      </x:c>
      <x:c r="B36" s="18" t="n">
        <x:v>9</x:v>
      </x:c>
      <x:c r="C36" s="18" t="n">
        <x:v>2</x:v>
      </x:c>
      <x:c r="D36" s="18" t="n">
        <x:v>552</x:v>
      </x:c>
      <x:c r="E36" s="18" t="n">
        <x:v>552</x:v>
      </x:c>
      <x:c r="F36" s="18" t="n">
        <x:v>341</x:v>
      </x:c>
      <x:c r="G36" s="18" t="n">
        <x:v>3613</x:v>
      </x:c>
      <x:c r="H36" s="18" t="n">
        <x:v>133</x:v>
      </x:c>
      <x:c r="I36" s="20" t="n">
        <x:v>91.42728771972543</x:v>
      </x:c>
      <x:c r="J36" s="20" t="n">
        <x:v>4.35</x:v>
      </x:c>
      <x:c r="K36" s="18" t="n">
        <x:v>371</x:v>
      </x:c>
      <x:c r="L36" s="18" t="n">
        <x:v>324</x:v>
      </x:c>
      <x:c r="M36" s="18" t="n">
        <x:v>16</x:v>
      </x:c>
      <x:c r="N36" s="18" t="n">
        <x:v>3</x:v>
      </x:c>
      <x:c r="O36" s="22" t="n">
        <x:v>10097142010229895000</x:v>
      </x:c>
      <x:c r="P36" s="22" t="n">
        <x:v>10079533397462684000</x:v>
      </x:c>
      <x:c r="Q36" s="22" t="n">
        <x:v>1177999901193487600</x:v>
      </x:c>
      <x:c r="R36" s="22" t="n">
        <x:v>7293162308275029000</x:v>
      </x:c>
      <x:c r="S36" s="24" t="n">
        <x:v>0.7230000000000001</x:v>
      </x:c>
      <x:c r="T36" s="20" t="n">
        <x:v>8.18</x:v>
      </x:c>
      <x:c r="U36" s="22" t="n">
        <x:v>161684706250839780</x:v>
      </x:c>
      <x:c r="V36" s="22" t="n">
        <x:v>2439721321442026500</x:v>
      </x:c>
      <x:c r="W36" s="22" t="n">
        <x:v>20492695718267785000</x:v>
      </x:c>
      <x:c r="X36" s="22" t="n">
        <x:v>3.946419594921106e+25</x:v>
      </x:c>
      <x:c r="Y36" s="22" t="n">
        <x:v>8.832972337052533e+23</x:v>
      </x:c>
      <x:c r="Z36" s="22" t="n">
        <x:v>5.8134013384015196e+23</x:v>
      </x:c>
      <x:c r="AA36" s="22" t="n">
        <x:v>1.4481224097351917e+22</x:v>
      </x:c>
      <x:c r="AB36" s="22" t="n">
        <x:v>4.004553608305132e+25</x:v>
      </x:c>
      <x:c r="AC36" s="22" t="n">
        <x:v>8.977784578026049e+23</x:v>
      </x:c>
      <x:c r="AD36" s="18" t="n">
        <x:v>371</x:v>
      </x:c>
      <x:c r="AE36" s="18" t="n">
        <x:v>371</x:v>
      </x:c>
      <x:c r="AF36" s="18" t="n">
        <x:v>360</x:v>
      </x:c>
      <x:c r="AG36" s="18" t="n">
        <x:v>358</x:v>
      </x:c>
      <x:c r="AH36" s="18" t="n">
        <x:v>324</x:v>
      </x:c>
      <x:c r="AI36" s="18" t="n">
        <x:v>324</x:v>
      </x:c>
      <x:c r="AJ36" s="18" t="n">
        <x:v>313</x:v>
      </x:c>
      <x:c r="AK36" s="18" t="n">
        <x:v>310</x:v>
      </x:c>
      <x:c r="AL36" s="22" t="n">
        <x:v>125236381438303110000</x:v>
      </x:c>
      <x:c r="AM36" s="22" t="n">
        <x:v>7043445106866737</x:v>
      </x:c>
      <x:c r="AN36" s="22" t="n">
        <x:v>7.701064631305494e+23</x:v>
      </x:c>
      <x:c r="AO36" s="22" t="n">
        <x:v>6.417553859421241e+22</x:v>
      </x:c>
      <x:c r="AP36" s="22" t="n">
        <x:v>279083402839397570</x:v>
      </x:c>
      <x:c r="AQ36" s="18" t="n">
        <x:v>228</x:v>
      </x:c>
      <x:c r="AR36" s="18" t="n">
        <x:v>0</x:v>
      </x:c>
      <x:c r="AS36" s="18" t="n">
        <x:v>46</x:v>
      </x:c>
      <x:c r="AT36" s="18" t="n">
        <x:v>46</x:v>
      </x:c>
    </x:row>
    <x:row r="37" ht="25" customHeight="1">
      <x:c r="A37" s="19" t="str">
        <x:v>hourly_balanced</x:v>
      </x:c>
      <x:c r="B37" s="19" t="n">
        <x:v>10</x:v>
      </x:c>
      <x:c r="C37" s="19" t="n">
        <x:v>2</x:v>
      </x:c>
      <x:c r="D37" s="19" t="n">
        <x:v>553</x:v>
      </x:c>
      <x:c r="E37" s="19" t="n">
        <x:v>553</x:v>
      </x:c>
      <x:c r="F37" s="19" t="n">
        <x:v>341</x:v>
      </x:c>
      <x:c r="G37" s="19" t="n">
        <x:v>3630</x:v>
      </x:c>
      <x:c r="H37" s="19" t="n">
        <x:v>132</x:v>
      </x:c>
      <x:c r="I37" s="21" t="n">
        <x:v>93.02593820174661</x:v>
      </x:c>
      <x:c r="J37" s="21" t="n">
        <x:v>4.35</x:v>
      </x:c>
      <x:c r="K37" s="19" t="n">
        <x:v>371</x:v>
      </x:c>
      <x:c r="L37" s="19" t="n">
        <x:v>325</x:v>
      </x:c>
      <x:c r="M37" s="19" t="n">
        <x:v>16</x:v>
      </x:c>
      <x:c r="N37" s="19" t="n">
        <x:v>4</x:v>
      </x:c>
      <x:c r="O37" s="23" t="n">
        <x:v>10601999110741395000</x:v>
      </x:c>
      <x:c r="P37" s="23" t="n">
        <x:v>9990927421882237000</x:v>
      </x:c>
      <x:c r="Q37" s="23" t="n">
        <x:v>1236899896253162500</x:v>
      </x:c>
      <x:c r="R37" s="23" t="n">
        <x:v>7666763209938723000</x:v>
      </x:c>
      <x:c r="S37" s="25" t="n">
        <x:v>0.7230000000000001</x:v>
      </x:c>
      <x:c r="T37" s="21" t="n">
        <x:v>8.19</x:v>
      </x:c>
      <x:c r="U37" s="23" t="n">
        <x:v>1894793212783292200</x:v>
      </x:c>
      <x:c r="V37" s="23" t="n">
        <x:v>2439721321442026500</x:v>
      </x:c>
      <x:c r="W37" s="23" t="n">
        <x:v>22225804224800250000</x:v>
      </x:c>
      <x:c r="X37" s="23" t="n">
        <x:v>4.432686374158057e+25</x:v>
      </x:c>
      <x:c r="Y37" s="23" t="n">
        <x:v>1.097589405521555e+24</x:v>
      </x:c>
      <x:c r="Z37" s="23" t="n">
        <x:v>5.7034306318668954e+23</x:v>
      </x:c>
      <x:c r="AA37" s="23" t="n">
        <x:v>1.6805460564976855e+22</x:v>
      </x:c>
      <x:c r="AB37" s="23" t="n">
        <x:v>4.489720680476737e+25</x:v>
      </x:c>
      <x:c r="AC37" s="23" t="n">
        <x:v>1.1143948660865327e+24</x:v>
      </x:c>
      <x:c r="AD37" s="19" t="n">
        <x:v>371</x:v>
      </x:c>
      <x:c r="AE37" s="19" t="n">
        <x:v>371</x:v>
      </x:c>
      <x:c r="AF37" s="19" t="n">
        <x:v>359</x:v>
      </x:c>
      <x:c r="AG37" s="19" t="n">
        <x:v>358</x:v>
      </x:c>
      <x:c r="AH37" s="19" t="n">
        <x:v>325</x:v>
      </x:c>
      <x:c r="AI37" s="19" t="n">
        <x:v>325</x:v>
      </x:c>
      <x:c r="AJ37" s="19" t="n">
        <x:v>314</x:v>
      </x:c>
      <x:c r="AK37" s="19" t="n">
        <x:v>311</x:v>
      </x:c>
      <x:c r="AL37" s="23" t="n">
        <x:v>135255291953367550000</x:v>
      </x:c>
      <x:c r="AM37" s="23" t="n">
        <x:v>7501269038813065</x:v>
      </x:c>
      <x:c r="AN37" s="23" t="n">
        <x:v>8.47117109443605e+23</x:v>
      </x:c>
      <x:c r="AO37" s="23" t="n">
        <x:v>7.05930924536337e+22</x:v>
      </x:c>
      <x:c r="AP37" s="23" t="n">
        <x:v>298619241038156700</x:v>
      </x:c>
      <x:c r="AQ37" s="19" t="n">
        <x:v>233</x:v>
      </x:c>
      <x:c r="AR37" s="19" t="n">
        <x:v>0</x:v>
      </x:c>
      <x:c r="AS37" s="19" t="n">
        <x:v>46</x:v>
      </x:c>
      <x:c r="AT37" s="19" t="n">
        <x:v>46</x:v>
      </x:c>
    </x:row>
    <x:row r="38" ht="25" customHeight="1">
      <x:c r="A38" s="18" t="str">
        <x:v>hourly_balanced</x:v>
      </x:c>
      <x:c r="B38" s="18" t="n">
        <x:v>11</x:v>
      </x:c>
      <x:c r="C38" s="18" t="n">
        <x:v>2</x:v>
      </x:c>
      <x:c r="D38" s="18" t="n">
        <x:v>551</x:v>
      </x:c>
      <x:c r="E38" s="18" t="n">
        <x:v>551</x:v>
      </x:c>
      <x:c r="F38" s="18" t="n">
        <x:v>340</x:v>
      </x:c>
      <x:c r="G38" s="18" t="n">
        <x:v>3613</x:v>
      </x:c>
      <x:c r="H38" s="18" t="n">
        <x:v>130</x:v>
      </x:c>
      <x:c r="I38" s="20" t="n">
        <x:v>97.40847313309496</x:v>
      </x:c>
      <x:c r="J38" s="20" t="n">
        <x:v>4.35</x:v>
      </x:c>
      <x:c r="K38" s="18" t="n">
        <x:v>371</x:v>
      </x:c>
      <x:c r="L38" s="18" t="n">
        <x:v>321</x:v>
      </x:c>
      <x:c r="M38" s="18" t="n">
        <x:v>16</x:v>
      </x:c>
      <x:c r="N38" s="18" t="n">
        <x:v>5</x:v>
      </x:c>
      <x:c r="O38" s="22" t="n">
        <x:v>8593390055318458000</x:v>
      </x:c>
      <x:c r="P38" s="22" t="n">
        <x:v>8027650931380131000</x:v>
      </x:c>
      <x:c r="Q38" s="22" t="n">
        <x:v>1002562173120486500</x:v>
      </x:c>
      <x:c r="R38" s="22" t="n">
        <x:v>6170970687991221000</x:v>
      </x:c>
      <x:c r="S38" s="24" t="n">
        <x:v>0.72</x:v>
      </x:c>
      <x:c r="T38" s="20" t="n">
        <x:v>8.16</x:v>
      </x:c>
      <x:c r="U38" s="22" t="n">
        <x:v>1521014890201402000</x:v>
      </x:c>
      <x:c r="V38" s="22" t="n">
        <x:v>2178322608430379000</x:v>
      </x:c>
      <x:c r="W38" s="22" t="n">
        <x:v>19673703293787873000</x:v>
      </x:c>
      <x:c r="X38" s="22" t="n">
        <x:v>3.722388623827096e+25</x:v>
      </x:c>
      <x:c r="Y38" s="22" t="n">
        <x:v>6.827548688417252e+23</x:v>
      </x:c>
      <x:c r="Z38" s="22" t="n">
        <x:v>5.8134013384015196e+23</x:v>
      </x:c>
      <x:c r="AA38" s="22" t="n">
        <x:v>9.405831163751695e+21</x:v>
      </x:c>
      <x:c r="AB38" s="22" t="n">
        <x:v>3.7805226372111074e+25</x:v>
      </x:c>
      <x:c r="AC38" s="22" t="n">
        <x:v>6.921607000054748e+23</x:v>
      </x:c>
      <x:c r="AD38" s="18" t="n">
        <x:v>371</x:v>
      </x:c>
      <x:c r="AE38" s="18" t="n">
        <x:v>371</x:v>
      </x:c>
      <x:c r="AF38" s="18" t="n">
        <x:v>360</x:v>
      </x:c>
      <x:c r="AG38" s="18" t="n">
        <x:v>358</x:v>
      </x:c>
      <x:c r="AH38" s="18" t="n">
        <x:v>321</x:v>
      </x:c>
      <x:c r="AI38" s="18" t="n">
        <x:v>321</x:v>
      </x:c>
      <x:c r="AJ38" s="18" t="n">
        <x:v>310</x:v>
      </x:c>
      <x:c r="AK38" s="18" t="n">
        <x:v>308</x:v>
      </x:c>
      <x:c r="AL38" s="22" t="n">
        <x:v>115959612442873090000</x:v>
      </x:c>
      <x:c r="AM38" s="22" t="n">
        <x:v>6613563480626027</x:v>
      </x:c>
      <x:c r="AN38" s="22" t="n">
        <x:v>7.000967846641353e+23</x:v>
      </x:c>
      <x:c r="AO38" s="22" t="n">
        <x:v>5.834139872201124e+22</x:v>
      </x:c>
      <x:c r="AP38" s="22" t="n">
        <x:v>260825610130279100</x:v>
      </x:c>
      <x:c r="AQ38" s="18" t="n">
        <x:v>222</x:v>
      </x:c>
      <x:c r="AR38" s="18" t="n">
        <x:v>0</x:v>
      </x:c>
      <x:c r="AS38" s="18" t="n">
        <x:v>44</x:v>
      </x:c>
      <x:c r="AT38" s="18" t="n">
        <x:v>44</x:v>
      </x:c>
    </x:row>
    <x:row r="39" ht="25" customHeight="1">
      <x:c r="A39" s="19" t="str">
        <x:v>hourly_balanced</x:v>
      </x:c>
      <x:c r="B39" s="19" t="n">
        <x:v>12</x:v>
      </x:c>
      <x:c r="C39" s="19" t="n">
        <x:v>2</x:v>
      </x:c>
      <x:c r="D39" s="19" t="n">
        <x:v>551</x:v>
      </x:c>
      <x:c r="E39" s="19" t="n">
        <x:v>551</x:v>
      </x:c>
      <x:c r="F39" s="19" t="n">
        <x:v>340</x:v>
      </x:c>
      <x:c r="G39" s="19" t="n">
        <x:v>3627</x:v>
      </x:c>
      <x:c r="H39" s="19" t="n">
        <x:v>135</x:v>
      </x:c>
      <x:c r="I39" s="21" t="n">
        <x:v>94.66518455970436</x:v>
      </x:c>
      <x:c r="J39" s="21" t="n">
        <x:v>4.35</x:v>
      </x:c>
      <x:c r="K39" s="19" t="n">
        <x:v>371</x:v>
      </x:c>
      <x:c r="L39" s="19" t="n">
        <x:v>322</x:v>
      </x:c>
      <x:c r="M39" s="19" t="n">
        <x:v>16</x:v>
      </x:c>
      <x:c r="N39" s="19" t="n">
        <x:v>5</x:v>
      </x:c>
      <x:c r="O39" s="23" t="n">
        <x:v>9023059558084385000</x:v>
      </x:c>
      <x:c r="P39" s="23" t="n">
        <x:v>8464250703484008000</x:v>
      </x:c>
      <x:c r="Q39" s="23" t="n">
        <x:v>1052690281776511200</x:v>
      </x:c>
      <x:c r="R39" s="23" t="n">
        <x:v>6471939852362001000</x:v>
      </x:c>
      <x:c r="S39" s="25" t="n">
        <x:v>0.72</x:v>
      </x:c>
      <x:c r="T39" s="21" t="n">
        <x:v>8.15</x:v>
      </x:c>
      <x:c r="U39" s="23" t="n">
        <x:v>1521015937740517400</x:v>
      </x:c>
      <x:c r="V39" s="23" t="n">
        <x:v>2178322608430379000</x:v>
      </x:c>
      <x:c r="W39" s="23" t="n">
        <x:v>19673704341326934000</x:v>
      </x:c>
      <x:c r="X39" s="23" t="n">
        <x:v>3.7242130005224717e+25</x:v>
      </x:c>
      <x:c r="Y39" s="23" t="n">
        <x:v>8.196585939973652e+23</x:v>
      </x:c>
      <x:c r="Z39" s="23" t="n">
        <x:v>5.6309637380338604e+23</x:v>
      </x:c>
      <x:c r="AA39" s="23" t="n">
        <x:v>1.075263700228149e+22</x:v>
      </x:c>
      <x:c r="AB39" s="23" t="n">
        <x:v>3.7805226379028046e+25</x:v>
      </x:c>
      <x:c r="AC39" s="23" t="n">
        <x:v>8.304112309996481e+23</x:v>
      </x:c>
      <x:c r="AD39" s="19" t="n">
        <x:v>371</x:v>
      </x:c>
      <x:c r="AE39" s="19" t="n">
        <x:v>371</x:v>
      </x:c>
      <x:c r="AF39" s="19" t="n">
        <x:v>359</x:v>
      </x:c>
      <x:c r="AG39" s="19" t="n">
        <x:v>357</x:v>
      </x:c>
      <x:c r="AH39" s="19" t="n">
        <x:v>322</x:v>
      </x:c>
      <x:c r="AI39" s="19" t="n">
        <x:v>322</x:v>
      </x:c>
      <x:c r="AJ39" s="19" t="n">
        <x:v>311</x:v>
      </x:c>
      <x:c r="AK39" s="19" t="n">
        <x:v>308</x:v>
      </x:c>
      <x:c r="AL39" s="23" t="n">
        <x:v>115959612442873090000</x:v>
      </x:c>
      <x:c r="AM39" s="23" t="n">
        <x:v>6613563480626027</x:v>
      </x:c>
      <x:c r="AN39" s="23" t="n">
        <x:v>7.000967846641353e+23</x:v>
      </x:c>
      <x:c r="AO39" s="23" t="n">
        <x:v>5.834139872201124e+22</x:v>
      </x:c>
      <x:c r="AP39" s="23" t="n">
        <x:v>260825610130279100</x:v>
      </x:c>
      <x:c r="AQ39" s="19" t="n">
        <x:v>225</x:v>
      </x:c>
      <x:c r="AR39" s="19" t="n">
        <x:v>0</x:v>
      </x:c>
      <x:c r="AS39" s="19" t="n">
        <x:v>45</x:v>
      </x:c>
      <x:c r="AT39" s="19" t="n">
        <x:v>45</x:v>
      </x:c>
    </x:row>
    <x:row r="40" ht="25" customHeight="1">
      <x:c r="A40" s="18" t="str">
        <x:v>hourly_balanced</x:v>
      </x:c>
      <x:c r="B40" s="18" t="n">
        <x:v>13</x:v>
      </x:c>
      <x:c r="C40" s="18" t="n">
        <x:v>2</x:v>
      </x:c>
      <x:c r="D40" s="18" t="n">
        <x:v>558</x:v>
      </x:c>
      <x:c r="E40" s="18" t="n">
        <x:v>558</x:v>
      </x:c>
      <x:c r="F40" s="18" t="n">
        <x:v>344</x:v>
      </x:c>
      <x:c r="G40" s="18" t="n">
        <x:v>3644</x:v>
      </x:c>
      <x:c r="H40" s="18" t="n">
        <x:v>129</x:v>
      </x:c>
      <x:c r="I40" s="20" t="n">
        <x:v>94.73177638692869</x:v>
      </x:c>
      <x:c r="J40" s="20" t="n">
        <x:v>4.35</x:v>
      </x:c>
      <x:c r="K40" s="18" t="n">
        <x:v>375</x:v>
      </x:c>
      <x:c r="L40" s="18" t="n">
        <x:v>328</x:v>
      </x:c>
      <x:c r="M40" s="18" t="n">
        <x:v>16</x:v>
      </x:c>
      <x:c r="N40" s="18" t="n">
        <x:v>1</x:v>
      </x:c>
      <x:c r="O40" s="22" t="n">
        <x:v>15599510964839506000</x:v>
      </x:c>
      <x:c r="P40" s="22" t="n">
        <x:v>15093120382310078000</x:v>
      </x:c>
      <x:c r="Q40" s="22" t="n">
        <x:v>1819942945897942000</x:v>
      </x:c>
      <x:c r="R40" s="22" t="n">
        <x:v>11451990987062770000</x:v>
      </x:c>
      <x:c r="S40" s="24" t="n">
        <x:v>0.73</x:v>
      </x:c>
      <x:c r="T40" s="20" t="n">
        <x:v>8.25</x:v>
      </x:c>
      <x:c r="U40" s="22" t="n">
        <x:v>1352746747935967500</x:v>
      </x:c>
      <x:c r="V40" s="22" t="n">
        <x:v>3427632796690911000</x:v>
      </x:c>
      <x:c r="W40" s="22" t="n">
        <x:v>29916353387026977000</x:v>
      </x:c>
      <x:c r="X40" s="22" t="n">
        <x:v>6.72618118595748e+25</x:v>
      </x:c>
      <x:c r="Y40" s="22" t="n">
        <x:v>1.670231934237656e+24</x:v>
      </x:c>
      <x:c r="Z40" s="22" t="n">
        <x:v>9.527169437235195e+23</x:v>
      </x:c>
      <x:c r="AA40" s="22" t="n">
        <x:v>2.626551093848585e+22</x:v>
      </x:c>
      <x:c r="AB40" s="22" t="n">
        <x:v>6.821452880329854e+25</x:v>
      </x:c>
      <x:c r="AC40" s="22" t="n">
        <x:v>1.6964974451761413e+24</x:v>
      </x:c>
      <x:c r="AD40" s="18" t="n">
        <x:v>375</x:v>
      </x:c>
      <x:c r="AE40" s="18" t="n">
        <x:v>375</x:v>
      </x:c>
      <x:c r="AF40" s="18" t="n">
        <x:v>363</x:v>
      </x:c>
      <x:c r="AG40" s="18" t="n">
        <x:v>361</x:v>
      </x:c>
      <x:c r="AH40" s="18" t="n">
        <x:v>328</x:v>
      </x:c>
      <x:c r="AI40" s="18" t="n">
        <x:v>328</x:v>
      </x:c>
      <x:c r="AJ40" s="18" t="n">
        <x:v>317</x:v>
      </x:c>
      <x:c r="AK40" s="18" t="n">
        <x:v>314</x:v>
      </x:c>
      <x:c r="AL40" s="22" t="n">
        <x:v>198734398002863830000</x:v>
      </x:c>
      <x:c r="AM40" s="22" t="n">
        <x:v>10277388668770296</x:v>
      </x:c>
      <x:c r="AN40" s="22" t="n">
        <x:v>1.3642905759300141e+24</x:v>
      </x:c>
      <x:c r="AO40" s="22" t="n">
        <x:v>1.136908813275011e+23</x:v>
      </x:c>
      <x:c r="AP40" s="22" t="n">
        <x:v>418828933338389200</x:v>
      </x:c>
      <x:c r="AQ40" s="18" t="n">
        <x:v>230</x:v>
      </x:c>
      <x:c r="AR40" s="18" t="n">
        <x:v>0</x:v>
      </x:c>
      <x:c r="AS40" s="18" t="n">
        <x:v>46</x:v>
      </x:c>
      <x:c r="AT40" s="18" t="n">
        <x:v>46</x:v>
      </x:c>
    </x:row>
    <x:row r="41" ht="25" customHeight="1">
      <x:c r="A41" s="19" t="str">
        <x:v>hourly_balanced</x:v>
      </x:c>
      <x:c r="B41" s="19" t="n">
        <x:v>14</x:v>
      </x:c>
      <x:c r="C41" s="19" t="n">
        <x:v>2</x:v>
      </x:c>
      <x:c r="D41" s="19" t="n">
        <x:v>552</x:v>
      </x:c>
      <x:c r="E41" s="19" t="n">
        <x:v>552</x:v>
      </x:c>
      <x:c r="F41" s="19" t="n">
        <x:v>341</x:v>
      </x:c>
      <x:c r="G41" s="19" t="n">
        <x:v>3626</x:v>
      </x:c>
      <x:c r="H41" s="19" t="n">
        <x:v>132</x:v>
      </x:c>
      <x:c r="I41" s="21" t="n">
        <x:v>89.94223672244698</x:v>
      </x:c>
      <x:c r="J41" s="21" t="n">
        <x:v>4.85</x:v>
      </x:c>
      <x:c r="K41" s="19" t="n">
        <x:v>371</x:v>
      </x:c>
      <x:c r="L41" s="19" t="n">
        <x:v>324</x:v>
      </x:c>
      <x:c r="M41" s="19" t="n">
        <x:v>16</x:v>
      </x:c>
      <x:c r="N41" s="19" t="n">
        <x:v>4</x:v>
      </x:c>
      <x:c r="O41" s="23" t="n">
        <x:v>10097142010229895000</x:v>
      </x:c>
      <x:c r="P41" s="23" t="n">
        <x:v>9924577605111820000</x:v>
      </x:c>
      <x:c r="Q41" s="23" t="n">
        <x:v>1177999901193487600</x:v>
      </x:c>
      <x:c r="R41" s="23" t="n">
        <x:v>7293209428271065000</x:v>
      </x:c>
      <x:c r="S41" s="25" t="n">
        <x:v>0.722</x:v>
      </x:c>
      <x:c r="T41" s="21" t="n">
        <x:v>8.19</x:v>
      </x:c>
      <x:c r="U41" s="23" t="n">
        <x:v>440768683654030800</x:v>
      </x:c>
      <x:c r="V41" s="23" t="n">
        <x:v>2439721321442026500</x:v>
      </x:c>
      <x:c r="W41" s="23" t="n">
        <x:v>20771779695670923000</x:v>
      </x:c>
      <x:c r="X41" s="23" t="n">
        <x:v>4.02452994869889e+25</x:v>
      </x:c>
      <x:c r="Y41" s="23" t="n">
        <x:v>9.677044830046555e+23</x:v>
      </x:c>
      <x:c r="Z41" s="23" t="n">
        <x:v>5.7034306318668954e+23</x:v>
      </x:c>
      <x:c r="AA41" s="23" t="n">
        <x:v>1.470051715404513e+22</x:v>
      </x:c>
      <x:c r="AB41" s="23" t="n">
        <x:v>4.081564255017546e+25</x:v>
      </x:c>
      <x:c r="AC41" s="23" t="n">
        <x:v>9.824050001586975e+23</x:v>
      </x:c>
      <x:c r="AD41" s="19" t="n">
        <x:v>371</x:v>
      </x:c>
      <x:c r="AE41" s="19" t="n">
        <x:v>371</x:v>
      </x:c>
      <x:c r="AF41" s="19" t="n">
        <x:v>359</x:v>
      </x:c>
      <x:c r="AG41" s="19" t="n">
        <x:v>358</x:v>
      </x:c>
      <x:c r="AH41" s="19" t="n">
        <x:v>324</x:v>
      </x:c>
      <x:c r="AI41" s="19" t="n">
        <x:v>324</x:v>
      </x:c>
      <x:c r="AJ41" s="19" t="n">
        <x:v>313</x:v>
      </x:c>
      <x:c r="AK41" s="19" t="n">
        <x:v>311</x:v>
      </x:c>
      <x:c r="AL41" s="23" t="n">
        <x:v>125236381438303110000</x:v>
      </x:c>
      <x:c r="AM41" s="23" t="n">
        <x:v>7043445106866737</x:v>
      </x:c>
      <x:c r="AN41" s="23" t="n">
        <x:v>7.701064631305494e+23</x:v>
      </x:c>
      <x:c r="AO41" s="23" t="n">
        <x:v>6.417553859421241e+22</x:v>
      </x:c>
      <x:c r="AP41" s="23" t="n">
        <x:v>279083402839397570</x:v>
      </x:c>
      <x:c r="AQ41" s="19" t="n">
        <x:v>228</x:v>
      </x:c>
      <x:c r="AR41" s="19" t="n">
        <x:v>0</x:v>
      </x:c>
      <x:c r="AS41" s="19" t="n">
        <x:v>45</x:v>
      </x:c>
      <x:c r="AT41" s="19" t="n">
        <x:v>45</x:v>
      </x:c>
    </x:row>
    <x:row r="42" ht="25" customHeight="1">
      <x:c r="A42" s="18" t="str">
        <x:v>hourly_balanced</x:v>
      </x:c>
      <x:c r="B42" s="18" t="n">
        <x:v>15</x:v>
      </x:c>
      <x:c r="C42" s="18" t="n">
        <x:v>2</x:v>
      </x:c>
      <x:c r="D42" s="18" t="n">
        <x:v>553</x:v>
      </x:c>
      <x:c r="E42" s="18" t="n">
        <x:v>553</x:v>
      </x:c>
      <x:c r="F42" s="18" t="n">
        <x:v>341</x:v>
      </x:c>
      <x:c r="G42" s="18" t="n">
        <x:v>3631</x:v>
      </x:c>
      <x:c r="H42" s="18" t="n">
        <x:v>131</x:v>
      </x:c>
      <x:c r="I42" s="20" t="n">
        <x:v>94.01016602563686</x:v>
      </x:c>
      <x:c r="J42" s="20" t="n">
        <x:v>5.35</x:v>
      </x:c>
      <x:c r="K42" s="18" t="n">
        <x:v>371</x:v>
      </x:c>
      <x:c r="L42" s="18" t="n">
        <x:v>324</x:v>
      </x:c>
      <x:c r="M42" s="18" t="n">
        <x:v>16</x:v>
      </x:c>
      <x:c r="N42" s="18" t="n">
        <x:v>2</x:v>
      </x:c>
      <x:c r="O42" s="22" t="n">
        <x:v>10097142010229895000</x:v>
      </x:c>
      <x:c r="P42" s="22" t="n">
        <x:v>9707921233624613000</x:v>
      </x:c>
      <x:c r="Q42" s="22" t="n">
        <x:v>1177999901193487600</x:v>
      </x:c>
      <x:c r="R42" s="22" t="n">
        <x:v>7293162308275029000</x:v>
      </x:c>
      <x:c r="S42" s="24" t="n">
        <x:v>0.7230000000000001</x:v>
      </x:c>
      <x:c r="T42" s="20" t="n">
        <x:v>8.18</x:v>
      </x:c>
      <x:c r="U42" s="22" t="n">
        <x:v>1297555190888503600</x:v>
      </x:c>
      <x:c r="V42" s="22" t="n">
        <x:v>2439721321442026500</x:v>
      </x:c>
      <x:c r="W42" s="22" t="n">
        <x:v>21628566202905416000</x:v>
      </x:c>
      <x:c r="X42" s="22" t="n">
        <x:v>4.262163245540305e+25</x:v>
      </x:c>
      <x:c r="Y42" s="22" t="n">
        <x:v>9.550945760853099e+23</x:v>
      </x:c>
      <x:c r="Z42" s="22" t="n">
        <x:v>5.8134013384015196e+23</x:v>
      </x:c>
      <x:c r="AA42" s="22" t="n">
        <x:v>1.4481224097351917e+22</x:v>
      </x:c>
      <x:c r="AB42" s="22" t="n">
        <x:v>4.320297258924307e+25</x:v>
      </x:c>
      <x:c r="AC42" s="22" t="n">
        <x:v>9.695758001826602e+23</x:v>
      </x:c>
      <x:c r="AD42" s="18" t="n">
        <x:v>371</x:v>
      </x:c>
      <x:c r="AE42" s="18" t="n">
        <x:v>371</x:v>
      </x:c>
      <x:c r="AF42" s="18" t="n">
        <x:v>360</x:v>
      </x:c>
      <x:c r="AG42" s="18" t="n">
        <x:v>358</x:v>
      </x:c>
      <x:c r="AH42" s="18" t="n">
        <x:v>324</x:v>
      </x:c>
      <x:c r="AI42" s="18" t="n">
        <x:v>324</x:v>
      </x:c>
      <x:c r="AJ42" s="18" t="n">
        <x:v>313</x:v>
      </x:c>
      <x:c r="AK42" s="18" t="n">
        <x:v>310</x:v>
      </x:c>
      <x:c r="AL42" s="22" t="n">
        <x:v>135255291953367550000</x:v>
      </x:c>
      <x:c r="AM42" s="22" t="n">
        <x:v>7501269038813065</x:v>
      </x:c>
      <x:c r="AN42" s="22" t="n">
        <x:v>8.47117109443605e+23</x:v>
      </x:c>
      <x:c r="AO42" s="22" t="n">
        <x:v>7.05930924536337e+22</x:v>
      </x:c>
      <x:c r="AP42" s="22" t="n">
        <x:v>298619241038156700</x:v>
      </x:c>
      <x:c r="AQ42" s="18" t="n">
        <x:v>226</x:v>
      </x:c>
      <x:c r="AR42" s="18" t="n">
        <x:v>0</x:v>
      </x:c>
      <x:c r="AS42" s="18" t="n">
        <x:v>45</x:v>
      </x:c>
      <x:c r="AT42" s="18" t="n">
        <x:v>45</x:v>
      </x:c>
    </x:row>
    <x:row r="43" ht="25" customHeight="1">
      <x:c r="A43" s="19" t="str">
        <x:v>hourly_balanced</x:v>
      </x:c>
      <x:c r="B43" s="19" t="n">
        <x:v>16</x:v>
      </x:c>
      <x:c r="C43" s="19" t="n">
        <x:v>2</x:v>
      </x:c>
      <x:c r="D43" s="19" t="n">
        <x:v>549</x:v>
      </x:c>
      <x:c r="E43" s="19" t="n">
        <x:v>549</x:v>
      </x:c>
      <x:c r="F43" s="19" t="n">
        <x:v>339</x:v>
      </x:c>
      <x:c r="G43" s="19" t="n">
        <x:v>3627</x:v>
      </x:c>
      <x:c r="H43" s="19" t="n">
        <x:v>130</x:v>
      </x:c>
      <x:c r="I43" s="21" t="n">
        <x:v>97.94592318769355</x:v>
      </x:c>
      <x:c r="J43" s="21" t="n">
        <x:v>5.35</x:v>
      </x:c>
      <x:c r="K43" s="19" t="n">
        <x:v>369</x:v>
      </x:c>
      <x:c r="L43" s="19" t="n">
        <x:v>320</x:v>
      </x:c>
      <x:c r="M43" s="19" t="n">
        <x:v>16</x:v>
      </x:c>
      <x:c r="N43" s="19" t="n">
        <x:v>1</x:v>
      </x:c>
      <x:c r="O43" s="23" t="n">
        <x:v>7313589584857786000</x:v>
      </x:c>
      <x:c r="P43" s="23" t="n">
        <x:v>7290265946318256000</x:v>
      </x:c>
      <x:c r="Q43" s="23" t="n">
        <x:v>853252118233408100</x:v>
      </x:c>
      <x:c r="R43" s="23" t="n">
        <x:v>5209138311899680000</x:v>
      </x:c>
      <x:c r="S43" s="25" t="n">
        <x:v>0.7170000000000001</x:v>
      </x:c>
      <x:c r="T43" s="21" t="n">
        <x:v>8.120000000000001</x:v>
      </x:c>
      <x:c r="U43" s="23" t="n">
        <x:v>64756160580293170</x:v>
      </x:c>
      <x:c r="V43" s="23" t="n">
        <x:v>1944930900384265700</x:v>
      </x:c>
      <x:c r="W43" s="23" t="n">
        <x:v>16272513663782453000</x:v>
      </x:c>
      <x:c r="X43" s="23" t="n">
        <x:v>2.8482688975311676e+25</x:v>
      </x:c>
      <x:c r="Y43" s="23" t="n">
        <x:v>8.615260619642554e+23</x:v>
      </x:c>
      <x:c r="Z43" s="23" t="n">
        <x:v>4.469302259541436e+23</x:v>
      </x:c>
      <x:c r="AA43" s="23" t="n">
        <x:v>7.984076603301551e+21</x:v>
      </x:c>
      <x:c r="AB43" s="23" t="n">
        <x:v>2.8929619201265886e+25</x:v>
      </x:c>
      <x:c r="AC43" s="23" t="n">
        <x:v>8.6951013856756e+23</x:v>
      </x:c>
      <x:c r="AD43" s="19" t="n">
        <x:v>369</x:v>
      </x:c>
      <x:c r="AE43" s="19" t="n">
        <x:v>369</x:v>
      </x:c>
      <x:c r="AF43" s="19" t="n">
        <x:v>358</x:v>
      </x:c>
      <x:c r="AG43" s="19" t="n">
        <x:v>356</x:v>
      </x:c>
      <x:c r="AH43" s="19" t="n">
        <x:v>320</x:v>
      </x:c>
      <x:c r="AI43" s="19" t="n">
        <x:v>320</x:v>
      </x:c>
      <x:c r="AJ43" s="19" t="n">
        <x:v>309</x:v>
      </x:c>
      <x:c r="AK43" s="19" t="n">
        <x:v>306</x:v>
      </x:c>
      <x:c r="AL43" s="23" t="n">
        <x:v>99416677334424520000</x:v>
      </x:c>
      <x:c r="AM43" s="23" t="n">
        <x:v>5830909634883771</x:v>
      </x:c>
      <x:c r="AN43" s="23" t="n">
        <x:v>5.7859238401994566e+23</x:v>
      </x:c>
      <x:c r="AO43" s="23" t="n">
        <x:v>4.821603200166211e+22</x:v>
      </x:c>
      <x:c r="AP43" s="23" t="n">
        <x:v>227815189213275420</x:v>
      </x:c>
      <x:c r="AQ43" s="19" t="n">
        <x:v>221</x:v>
      </x:c>
      <x:c r="AR43" s="19" t="n">
        <x:v>0</x:v>
      </x:c>
      <x:c r="AS43" s="19" t="n">
        <x:v>45</x:v>
      </x:c>
      <x:c r="AT43" s="19" t="n">
        <x:v>45</x:v>
      </x:c>
    </x:row>
    <x:row r="44" ht="25" customHeight="1">
      <x:c r="A44" s="18" t="str">
        <x:v>hourly_balanced</x:v>
      </x:c>
      <x:c r="B44" s="18" t="n">
        <x:v>17</x:v>
      </x:c>
      <x:c r="C44" s="18" t="n">
        <x:v>2</x:v>
      </x:c>
      <x:c r="D44" s="18" t="n">
        <x:v>556</x:v>
      </x:c>
      <x:c r="E44" s="18" t="n">
        <x:v>556</x:v>
      </x:c>
      <x:c r="F44" s="18" t="n">
        <x:v>343</x:v>
      </x:c>
      <x:c r="G44" s="18" t="n">
        <x:v>3636</x:v>
      </x:c>
      <x:c r="H44" s="18" t="n">
        <x:v>131</x:v>
      </x:c>
      <x:c r="I44" s="20" t="n">
        <x:v>96.26681251872651</x:v>
      </x:c>
      <x:c r="J44" s="20" t="n">
        <x:v>4.35</x:v>
      </x:c>
      <x:c r="K44" s="18" t="n">
        <x:v>374</x:v>
      </x:c>
      <x:c r="L44" s="18" t="n">
        <x:v>325</x:v>
      </x:c>
      <x:c r="M44" s="18" t="n">
        <x:v>16</x:v>
      </x:c>
      <x:c r="N44" s="18" t="n">
        <x:v>4</x:v>
      </x:c>
      <x:c r="O44" s="22" t="n">
        <x:v>12644094853513790000</x:v>
      </x:c>
      <x:c r="P44" s="22" t="n">
        <x:v>12146688486052180000</x:v>
      </x:c>
      <x:c r="Q44" s="22" t="n">
        <x:v>1475144399576608500</x:v>
      </x:c>
      <x:c r="R44" s="22" t="n">
        <x:v>9228813144075141000</x:v>
      </x:c>
      <x:c r="S44" s="24" t="n">
        <x:v>0.7270000000000001</x:v>
      </x:c>
      <x:c r="T44" s="20" t="n">
        <x:v>8.23</x:v>
      </x:c>
      <x:c r="U44" s="22" t="n">
        <x:v>1724344936158385700</x:v>
      </x:c>
      <x:c r="V44" s="22" t="n">
        <x:v>3060386425616882700</x:v>
      </x:c>
      <x:c r="W44" s="22" t="n">
        <x:v>27227565149632470000</x:v>
      </x:c>
      <x:c r="X44" s="22" t="n">
        <x:v>5.8895767502934115e+25</x:v>
      </x:c>
      <x:c r="Y44" s="22" t="n">
        <x:v>1.3764367171074834e+24</x:v>
      </x:c>
      <x:c r="Z44" s="22" t="n">
        <x:v>8.624147488254632e+23</x:v>
      </x:c>
      <x:c r="AA44" s="22" t="n">
        <x:v>1.705995015726933e+22</x:v>
      </x:c>
      <x:c r="AB44" s="22" t="n">
        <x:v>5.9758182251759385e+25</x:v>
      </x:c>
      <x:c r="AC44" s="22" t="n">
        <x:v>1.393496667264748e+24</x:v>
      </x:c>
      <x:c r="AD44" s="18" t="n">
        <x:v>374</x:v>
      </x:c>
      <x:c r="AE44" s="18" t="n">
        <x:v>374</x:v>
      </x:c>
      <x:c r="AF44" s="18" t="n">
        <x:v>363</x:v>
      </x:c>
      <x:c r="AG44" s="18" t="n">
        <x:v>361</x:v>
      </x:c>
      <x:c r="AH44" s="18" t="n">
        <x:v>325</x:v>
      </x:c>
      <x:c r="AI44" s="18" t="n">
        <x:v>325</x:v>
      </x:c>
      <x:c r="AJ44" s="18" t="n">
        <x:v>314</x:v>
      </x:c>
      <x:c r="AK44" s="18" t="n">
        <x:v>312</x:v>
      </x:c>
      <x:c r="AL44" s="22" t="n">
        <x:v>170382714337159870000</x:v>
      </x:c>
      <x:c r="AM44" s="22" t="n">
        <x:v>9061155122458352</x:v>
      </x:c>
      <x:c r="AN44" s="22" t="n">
        <x:v>1.1275128726694315e+24</x:v>
      </x:c>
      <x:c r="AO44" s="22" t="n">
        <x:v>9.39594060557859e+22</x:v>
      </x:c>
      <x:c r="AP44" s="22" t="n">
        <x:v>365821410899105300</x:v>
      </x:c>
      <x:c r="AQ44" s="18" t="n">
        <x:v>226</x:v>
      </x:c>
      <x:c r="AR44" s="18" t="n">
        <x:v>0</x:v>
      </x:c>
      <x:c r="AS44" s="18" t="n">
        <x:v>45</x:v>
      </x:c>
      <x:c r="AT44" s="18" t="n">
        <x:v>45</x:v>
      </x:c>
    </x:row>
    <x:row r="45" ht="25" customHeight="1">
      <x:c r="A45" s="19" t="str">
        <x:v>hourly_balanced</x:v>
      </x:c>
      <x:c r="B45" s="19" t="n">
        <x:v>18</x:v>
      </x:c>
      <x:c r="C45" s="19" t="n">
        <x:v>2</x:v>
      </x:c>
      <x:c r="D45" s="19" t="n">
        <x:v>549</x:v>
      </x:c>
      <x:c r="E45" s="19" t="n">
        <x:v>549</x:v>
      </x:c>
      <x:c r="F45" s="19" t="n">
        <x:v>339</x:v>
      </x:c>
      <x:c r="G45" s="19" t="n">
        <x:v>3645</x:v>
      </x:c>
      <x:c r="H45" s="19" t="n">
        <x:v>132</x:v>
      </x:c>
      <x:c r="I45" s="21" t="n">
        <x:v>92.85109520475817</x:v>
      </x:c>
      <x:c r="J45" s="21" t="n">
        <x:v>4.85</x:v>
      </x:c>
      <x:c r="K45" s="19" t="n">
        <x:v>369</x:v>
      </x:c>
      <x:c r="L45" s="19" t="n">
        <x:v>321</x:v>
      </x:c>
      <x:c r="M45" s="19" t="n">
        <x:v>16</x:v>
      </x:c>
      <x:c r="N45" s="19" t="n">
        <x:v>5</x:v>
      </x:c>
      <x:c r="O45" s="23" t="n">
        <x:v>7679269064100554000</x:v>
      </x:c>
      <x:c r="P45" s="23" t="n">
        <x:v>7352738124546937000</x:v>
      </x:c>
      <x:c r="Q45" s="23" t="n">
        <x:v>895914724145071600</x:v>
      </x:c>
      <x:c r="R45" s="23" t="n">
        <x:v>5482406808049900000</x:v>
      </x:c>
      <x:c r="S45" s="25" t="n">
        <x:v>0.718</x:v>
      </x:c>
      <x:c r="T45" s="21" t="n">
        <x:v>8.13</x:v>
      </x:c>
      <x:c r="U45" s="23" t="n">
        <x:v>976017625388692000</x:v>
      </x:c>
      <x:c r="V45" s="23" t="n">
        <x:v>1944930900384265700</x:v>
      </x:c>
      <x:c r="W45" s="23" t="n">
        <x:v>17183775128590856000</x:v>
      </x:c>
      <x:c r="X45" s="23" t="n">
        <x:v>3.079705851587899e+25</x:v>
      </x:c>
      <x:c r="Y45" s="23" t="n">
        <x:v>5.966017791354406e+23</x:v>
      </x:c>
      <x:c r="Z45" s="23" t="n">
        <x:v>4.469302259541436e+23</x:v>
      </x:c>
      <x:c r="AA45" s="23" t="n">
        <x:v>9.265520898131426e+21</x:v>
      </x:c>
      <x:c r="AB45" s="23" t="n">
        <x:v>3.124398874183311e+25</x:v>
      </x:c>
      <x:c r="AC45" s="23" t="n">
        <x:v>6.058673000335738e+23</x:v>
      </x:c>
      <x:c r="AD45" s="19" t="n">
        <x:v>369</x:v>
      </x:c>
      <x:c r="AE45" s="19" t="n">
        <x:v>369</x:v>
      </x:c>
      <x:c r="AF45" s="19" t="n">
        <x:v>358</x:v>
      </x:c>
      <x:c r="AG45" s="19" t="n">
        <x:v>356</x:v>
      </x:c>
      <x:c r="AH45" s="19" t="n">
        <x:v>321</x:v>
      </x:c>
      <x:c r="AI45" s="19" t="n">
        <x:v>321</x:v>
      </x:c>
      <x:c r="AJ45" s="19" t="n">
        <x:v>310</x:v>
      </x:c>
      <x:c r="AK45" s="19" t="n">
        <x:v>307</x:v>
      </x:c>
      <x:c r="AL45" s="23" t="n">
        <x:v>99416677334424520000</x:v>
      </x:c>
      <x:c r="AM45" s="23" t="n">
        <x:v>5830909634883771</x:v>
      </x:c>
      <x:c r="AN45" s="23" t="n">
        <x:v>5.7859238401994566e+23</x:v>
      </x:c>
      <x:c r="AO45" s="23" t="n">
        <x:v>4.821603200166211e+22</x:v>
      </x:c>
      <x:c r="AP45" s="23" t="n">
        <x:v>227815189213275420</x:v>
      </x:c>
      <x:c r="AQ45" s="19" t="n">
        <x:v>227</x:v>
      </x:c>
      <x:c r="AR45" s="19" t="n">
        <x:v>0</x:v>
      </x:c>
      <x:c r="AS45" s="19" t="n">
        <x:v>45</x:v>
      </x:c>
      <x:c r="AT45" s="19" t="n">
        <x:v>45</x:v>
      </x:c>
    </x:row>
    <x:row r="46" ht="25" customHeight="1">
      <x:c r="A46" s="18" t="str">
        <x:v>hourly_balanced</x:v>
      </x:c>
      <x:c r="B46" s="18" t="n">
        <x:v>19</x:v>
      </x:c>
      <x:c r="C46" s="18" t="n">
        <x:v>2</x:v>
      </x:c>
      <x:c r="D46" s="18" t="n">
        <x:v>551</x:v>
      </x:c>
      <x:c r="E46" s="18" t="n">
        <x:v>551</x:v>
      </x:c>
      <x:c r="F46" s="18" t="n">
        <x:v>340</x:v>
      </x:c>
      <x:c r="G46" s="18" t="n">
        <x:v>3635</x:v>
      </x:c>
      <x:c r="H46" s="18" t="n">
        <x:v>135</x:v>
      </x:c>
      <x:c r="I46" s="20" t="n">
        <x:v>91.56863976045133</x:v>
      </x:c>
      <x:c r="J46" s="20" t="n">
        <x:v>4.35</x:v>
      </x:c>
      <x:c r="K46" s="18" t="n">
        <x:v>370</x:v>
      </x:c>
      <x:c r="L46" s="18" t="n">
        <x:v>323</x:v>
      </x:c>
      <x:c r="M46" s="18" t="n">
        <x:v>16</x:v>
      </x:c>
      <x:c r="N46" s="18" t="n">
        <x:v>5</x:v>
      </x:c>
      <x:c r="O46" s="22" t="n">
        <x:v>9023059558084385000</x:v>
      </x:c>
      <x:c r="P46" s="22" t="n">
        <x:v>8528746919737328000</x:v>
      </x:c>
      <x:c r="Q46" s="22" t="n">
        <x:v>1052690281776520000</x:v>
      </x:c>
      <x:c r="R46" s="22" t="n">
        <x:v>6502194171060320000</x:v>
      </x:c>
      <x:c r="S46" s="24" t="n">
        <x:v>0.722</x:v>
      </x:c>
      <x:c r="T46" s="20" t="n">
        <x:v>8.17</x:v>
      </x:c>
      <x:c r="U46" s="22" t="n">
        <x:v>1521015588798845200</x:v>
      </x:c>
      <x:c r="V46" s="22" t="n">
        <x:v>2178322608430379000</x:v>
      </x:c>
      <x:c r="W46" s="22" t="n">
        <x:v>19673703992385323000</x:v>
      </x:c>
      <x:c r="X46" s="22" t="n">
        <x:v>3.7295502453873117e+25</x:v>
      </x:c>
      <x:c r="Y46" s="22" t="n">
        <x:v>9.594886491697764e+23</x:v>
      </x:c>
      <x:c r="Z46" s="22" t="n">
        <x:v>5.097239227007019e+23</x:v>
      </x:c>
      <x:c r="AA46" s="22" t="n">
        <x:v>1.296273470140755e+22</x:v>
      </x:c>
      <x:c r="AB46" s="22" t="n">
        <x:v>3.7805226376573734e+25</x:v>
      </x:c>
      <x:c r="AC46" s="22" t="n">
        <x:v>9.72451383871183e+23</x:v>
      </x:c>
      <x:c r="AD46" s="18" t="n">
        <x:v>370</x:v>
      </x:c>
      <x:c r="AE46" s="18" t="n">
        <x:v>370</x:v>
      </x:c>
      <x:c r="AF46" s="18" t="n">
        <x:v>359</x:v>
      </x:c>
      <x:c r="AG46" s="18" t="n">
        <x:v>357</x:v>
      </x:c>
      <x:c r="AH46" s="18" t="n">
        <x:v>323</x:v>
      </x:c>
      <x:c r="AI46" s="18" t="n">
        <x:v>323</x:v>
      </x:c>
      <x:c r="AJ46" s="18" t="n">
        <x:v>313</x:v>
      </x:c>
      <x:c r="AK46" s="18" t="n">
        <x:v>310</x:v>
      </x:c>
      <x:c r="AL46" s="22" t="n">
        <x:v>115959612442873090000</x:v>
      </x:c>
      <x:c r="AM46" s="22" t="n">
        <x:v>6613563480626027</x:v>
      </x:c>
      <x:c r="AN46" s="22" t="n">
        <x:v>7.000967846641353e+23</x:v>
      </x:c>
      <x:c r="AO46" s="22" t="n">
        <x:v>5.834139872201124e+22</x:v>
      </x:c>
      <x:c r="AP46" s="22" t="n">
        <x:v>260825610130279100</x:v>
      </x:c>
      <x:c r="AQ46" s="18" t="n">
        <x:v>229</x:v>
      </x:c>
      <x:c r="AR46" s="18" t="n">
        <x:v>0</x:v>
      </x:c>
      <x:c r="AS46" s="18" t="n">
        <x:v>45</x:v>
      </x:c>
      <x:c r="AT46" s="18" t="n">
        <x:v>45</x:v>
      </x:c>
    </x:row>
    <x:row r="47" ht="25" customHeight="1">
      <x:c r="A47" s="19" t="str">
        <x:v>hourly_balanced</x:v>
      </x:c>
      <x:c r="B47" s="19" t="n">
        <x:v>20</x:v>
      </x:c>
      <x:c r="C47" s="19" t="n">
        <x:v>2</x:v>
      </x:c>
      <x:c r="D47" s="19" t="n">
        <x:v>549</x:v>
      </x:c>
      <x:c r="E47" s="19" t="n">
        <x:v>549</x:v>
      </x:c>
      <x:c r="F47" s="19" t="n">
        <x:v>339</x:v>
      </x:c>
      <x:c r="G47" s="19" t="n">
        <x:v>3632</x:v>
      </x:c>
      <x:c r="H47" s="19" t="n">
        <x:v>132</x:v>
      </x:c>
      <x:c r="I47" s="21" t="n">
        <x:v>97.3978134557401</x:v>
      </x:c>
      <x:c r="J47" s="21" t="n">
        <x:v>4.35</x:v>
      </x:c>
      <x:c r="K47" s="19" t="n">
        <x:v>369</x:v>
      </x:c>
      <x:c r="L47" s="19" t="n">
        <x:v>321</x:v>
      </x:c>
      <x:c r="M47" s="19" t="n">
        <x:v>16</x:v>
      </x:c>
      <x:c r="N47" s="19" t="n">
        <x:v>3</x:v>
      </x:c>
      <x:c r="O47" s="23" t="n">
        <x:v>7679269064100554000</x:v>
      </x:c>
      <x:c r="P47" s="23" t="n">
        <x:v>7510172684688871000</x:v>
      </x:c>
      <x:c r="Q47" s="23" t="n">
        <x:v>895914724145071600</x:v>
      </x:c>
      <x:c r="R47" s="23" t="n">
        <x:v>5495236306899667000</x:v>
      </x:c>
      <x:c r="S47" s="25" t="n">
        <x:v>0.7190000000000001</x:v>
      </x:c>
      <x:c r="T47" s="21" t="n">
        <x:v>8.14</x:v>
      </x:c>
      <x:c r="U47" s="23" t="n">
        <x:v>520388047558934850</x:v>
      </x:c>
      <x:c r="V47" s="23" t="n">
        <x:v>1944930900384265700</x:v>
      </x:c>
      <x:c r="W47" s="23" t="n">
        <x:v>16728145550761187000</x:v>
      </x:c>
      <x:c r="X47" s="23" t="n">
        <x:v>2.963987375295142e+25</x:v>
      </x:c>
      <x:c r="Y47" s="23" t="n">
        <x:v>7.390563295282273e+23</x:v>
      </x:c>
      <x:c r="Z47" s="23" t="n">
        <x:v>4.469302259541436e+23</x:v>
      </x:c>
      <x:c r="AA47" s="23" t="n">
        <x:v>9.62512422044496e+21</x:v>
      </x:c>
      <x:c r="AB47" s="23" t="n">
        <x:v>3.008680397890549e+25</x:v>
      </x:c>
      <x:c r="AC47" s="23" t="n">
        <x:v>7.486814537486707e+23</x:v>
      </x:c>
      <x:c r="AD47" s="19" t="n">
        <x:v>369</x:v>
      </x:c>
      <x:c r="AE47" s="19" t="n">
        <x:v>369</x:v>
      </x:c>
      <x:c r="AF47" s="19" t="n">
        <x:v>358</x:v>
      </x:c>
      <x:c r="AG47" s="19" t="n">
        <x:v>356</x:v>
      </x:c>
      <x:c r="AH47" s="19" t="n">
        <x:v>321</x:v>
      </x:c>
      <x:c r="AI47" s="19" t="n">
        <x:v>321</x:v>
      </x:c>
      <x:c r="AJ47" s="19" t="n">
        <x:v>311</x:v>
      </x:c>
      <x:c r="AK47" s="19" t="n">
        <x:v>308</x:v>
      </x:c>
      <x:c r="AL47" s="23" t="n">
        <x:v>99416677334424520000</x:v>
      </x:c>
      <x:c r="AM47" s="23" t="n">
        <x:v>5830909634883771</x:v>
      </x:c>
      <x:c r="AN47" s="23" t="n">
        <x:v>5.7859238401994566e+23</x:v>
      </x:c>
      <x:c r="AO47" s="23" t="n">
        <x:v>4.821603200166211e+22</x:v>
      </x:c>
      <x:c r="AP47" s="23" t="n">
        <x:v>227815189213275420</x:v>
      </x:c>
      <x:c r="AQ47" s="19" t="n">
        <x:v>223</x:v>
      </x:c>
      <x:c r="AR47" s="19" t="n">
        <x:v>0</x:v>
      </x:c>
      <x:c r="AS47" s="19" t="n">
        <x:v>45</x:v>
      </x:c>
      <x:c r="AT47" s="19" t="n">
        <x:v>45</x:v>
      </x:c>
    </x:row>
    <x:row r="48" ht="25" customHeight="1">
      <x:c r="A48" s="18" t="str">
        <x:v>hourly_balanced</x:v>
      </x:c>
      <x:c r="B48" s="18" t="n">
        <x:v>1</x:v>
      </x:c>
      <x:c r="C48" s="18" t="n">
        <x:v>7</x:v>
      </x:c>
      <x:c r="D48" s="18" t="n">
        <x:v>2203</x:v>
      </x:c>
      <x:c r="E48" s="18" t="n">
        <x:v>2203</x:v>
      </x:c>
      <x:c r="F48" s="18" t="n">
        <x:v>1326</x:v>
      </x:c>
      <x:c r="G48" s="18" t="n">
        <x:v>11909</x:v>
      </x:c>
      <x:c r="H48" s="18" t="n">
        <x:v>132</x:v>
      </x:c>
      <x:c r="I48" s="20" t="n">
        <x:v>96.72594328071864</x:v>
      </x:c>
      <x:c r="J48" s="20" t="n">
        <x:v>9.35</x:v>
      </x:c>
      <x:c r="K48" s="18" t="n">
        <x:v>1578</x:v>
      </x:c>
      <x:c r="L48" s="18" t="n">
        <x:v>1389</x:v>
      </x:c>
      <x:c r="M48" s="18" t="n">
        <x:v>56</x:v>
      </x:c>
      <x:c r="N48" s="18" t="n">
        <x:v>3</x:v>
      </x:c>
      <x:c r="O48" s="22" t="n">
        <x:v>3.275952279347796e+73</x:v>
      </x:c>
      <x:c r="P48" s="22" t="n">
        <x:v>3.27595227925593e+73</x:v>
      </x:c>
      <x:c r="Q48" s="22" t="n">
        <x:v>3.8219443259056985e+72</x:v>
      </x:c>
      <x:c r="R48" s="22" t="n">
        <x:v>9.524285260156976e+73</x:v>
      </x:c>
      <x:c r="S48" s="24" t="n">
        <x:v>0.8</x:v>
      </x:c>
      <x:c r="T48" s="20" t="n">
        <x:v>30.9</x:v>
      </x:c>
      <x:c r="U48" s="22" t="n">
        <x:v>5.350189398005162e+66</x:v>
      </x:c>
      <x:c r="V48" s="22" t="n">
        <x:v>7.363640060687445e+66</x:v>
      </x:c>
      <x:c r="W48" s="22" t="n">
        <x:v>6.671385657040178e+67</x:v>
      </x:c>
      <x:c r="X48" s="22" t="n">
        <x:v>8.285413727902549e+93</x:v>
      </x:c>
      <x:c r="Y48" s="22" t="n">
        <x:v>1.7286807637538644e+92</x:v>
      </x:c>
      <x:c r="Z48" s="22" t="n">
        <x:v>4.6195246949622205e+92</x:v>
      </x:c>
      <x:c r="AA48" s="22" t="n">
        <x:v>1.033741178771871e+91</x:v>
      </x:c>
      <x:c r="AB48" s="22" t="n">
        <x:v>8.747366197398802e+93</x:v>
      </x:c>
      <x:c r="AC48" s="22" t="n">
        <x:v>1.8320548816310762e+92</x:v>
      </x:c>
      <x:c r="AD48" s="18" t="n">
        <x:v>1578</x:v>
      </x:c>
      <x:c r="AE48" s="18" t="n">
        <x:v>1578</x:v>
      </x:c>
      <x:c r="AF48" s="18" t="n">
        <x:v>1566</x:v>
      </x:c>
      <x:c r="AG48" s="18" t="n">
        <x:v>1564</x:v>
      </x:c>
      <x:c r="AH48" s="18" t="n">
        <x:v>1389</x:v>
      </x:c>
      <x:c r="AI48" s="18" t="n">
        <x:v>1389</x:v>
      </x:c>
      <x:c r="AJ48" s="18" t="n">
        <x:v>1378</x:v>
      </x:c>
      <x:c r="AK48" s="18" t="n">
        <x:v>1376</x:v>
      </x:c>
      <x:c r="AL48" s="22" t="n">
        <x:v>1.9070005558732384e+75</x:v>
      </x:c>
      <x:c r="AM48" s="22" t="n">
        <x:v>1.0045870383674156e+61</x:v>
      </x:c>
      <x:c r="AN48" s="22" t="n">
        <x:v>1.682185807192255e+92</x:v>
      </x:c>
      <x:c r="AO48" s="22" t="n">
        <x:v>1.401821505993545e+91</x:v>
      </x:c>
      <x:c r="AP48" s="22" t="n">
        <x:v>9.08554466912091e+65</x:v>
      </x:c>
      <x:c r="AQ48" s="18" t="n">
        <x:v>177</x:v>
      </x:c>
      <x:c r="AR48" s="18" t="n">
        <x:v>0</x:v>
      </x:c>
      <x:c r="AS48" s="18" t="n">
        <x:v>35</x:v>
      </x:c>
      <x:c r="AT48" s="18" t="n">
        <x:v>35</x:v>
      </x:c>
    </x:row>
    <x:row r="49" ht="25" customHeight="1">
      <x:c r="A49" s="19" t="str">
        <x:v>hourly_balanced</x:v>
      </x:c>
      <x:c r="B49" s="19" t="n">
        <x:v>2</x:v>
      </x:c>
      <x:c r="C49" s="19" t="n">
        <x:v>7</x:v>
      </x:c>
      <x:c r="D49" s="19" t="n">
        <x:v>2215</x:v>
      </x:c>
      <x:c r="E49" s="19" t="n">
        <x:v>2215</x:v>
      </x:c>
      <x:c r="F49" s="19" t="n">
        <x:v>1333</x:v>
      </x:c>
      <x:c r="G49" s="19" t="n">
        <x:v>11941</x:v>
      </x:c>
      <x:c r="H49" s="19" t="n">
        <x:v>133</x:v>
      </x:c>
      <x:c r="I49" s="21" t="n">
        <x:v>97.05458641529549</x:v>
      </x:c>
      <x:c r="J49" s="21" t="n">
        <x:v>9.85</x:v>
      </x:c>
      <x:c r="K49" s="19" t="n">
        <x:v>1587</x:v>
      </x:c>
      <x:c r="L49" s="19" t="n">
        <x:v>1397</x:v>
      </x:c>
      <x:c r="M49" s="19" t="n">
        <x:v>56</x:v>
      </x:c>
      <x:c r="N49" s="19" t="n">
        <x:v>2</x:v>
      </x:c>
      <x:c r="O49" s="23" t="n">
        <x:v>8.333317843994429e+73</x:v>
      </x:c>
      <x:c r="P49" s="23" t="n">
        <x:v>8.333317843809006e+73</x:v>
      </x:c>
      <x:c r="Q49" s="23" t="n">
        <x:v>9.722204151326673e+72</x:v>
      </x:c>
      <x:c r="R49" s="23" t="n">
        <x:v>2.436773248488524e+74</x:v>
      </x:c>
      <x:c r="S49" s="25" t="n">
        <x:v>0.8</x:v>
      </x:c>
      <x:c r="T49" s="21" t="n">
        <x:v>31.08</x:v>
      </x:c>
      <x:c r="U49" s="23" t="n">
        <x:v>1.2550629798232083e+67</x:v>
      </x:c>
      <x:c r="V49" s="23" t="n">
        <x:v>1.6278662172992664e+67</x:v>
      </x:c>
      <x:c r="W49" s="23" t="n">
        <x:v>1.4820614790650425e+68</x:v>
      </x:c>
      <x:c r="X49" s="23" t="n">
        <x:v>2.5367990627923642e+94</x:v>
      </x:c>
      <x:c r="Y49" s="23" t="n">
        <x:v>7.006511056689865e+92</x:v>
      </x:c>
      <x:c r="Z49" s="23" t="n">
        <x:v>1.5570497003461226e+93</x:v>
      </x:c>
      <x:c r="AA49" s="23" t="n">
        <x:v>3.4800232003844925e+91</x:v>
      </x:c>
      <x:c r="AB49" s="23" t="n">
        <x:v>2.6925040328270114e+94</x:v>
      </x:c>
      <x:c r="AC49" s="23" t="n">
        <x:v>7.354513376728303e+92</x:v>
      </x:c>
      <x:c r="AD49" s="19" t="n">
        <x:v>1587</x:v>
      </x:c>
      <x:c r="AE49" s="19" t="n">
        <x:v>1587</x:v>
      </x:c>
      <x:c r="AF49" s="19" t="n">
        <x:v>1576</x:v>
      </x:c>
      <x:c r="AG49" s="19" t="n">
        <x:v>1574</x:v>
      </x:c>
      <x:c r="AH49" s="19" t="n">
        <x:v>1397</x:v>
      </x:c>
      <x:c r="AI49" s="19" t="n">
        <x:v>1397</x:v>
      </x:c>
      <x:c r="AJ49" s="19" t="n">
        <x:v>1387</x:v>
      </x:c>
      <x:c r="AK49" s="19" t="n">
        <x:v>1384</x:v>
      </x:c>
      <x:c r="AL49" s="23" t="n">
        <x:v>4.802151812557093e+75</x:v>
      </x:c>
      <x:c r="AM49" s="23" t="n">
        <x:v>2.138862487692992e+61</x:v>
      </x:c>
      <x:c r="AN49" s="23" t="n">
        <x:v>5.279419672209541e+92</x:v>
      </x:c>
      <x:c r="AO49" s="23" t="n">
        <x:v>4.399516393507948e+91</x:v>
      </x:c>
      <x:c r="AP49" s="23" t="n">
        <x:v>2.046238728492167e+66</x:v>
      </x:c>
      <x:c r="AQ49" s="19" t="n">
        <x:v>176</x:v>
      </x:c>
      <x:c r="AR49" s="19" t="n">
        <x:v>0</x:v>
      </x:c>
      <x:c r="AS49" s="19" t="n">
        <x:v>35</x:v>
      </x:c>
      <x:c r="AT49" s="19" t="n">
        <x:v>35</x:v>
      </x:c>
    </x:row>
    <x:row r="50" ht="25" customHeight="1">
      <x:c r="A50" s="18" t="str">
        <x:v>hourly_balanced</x:v>
      </x:c>
      <x:c r="B50" s="18" t="n">
        <x:v>3</x:v>
      </x:c>
      <x:c r="C50" s="18" t="n">
        <x:v>7</x:v>
      </x:c>
      <x:c r="D50" s="18" t="n">
        <x:v>2211</x:v>
      </x:c>
      <x:c r="E50" s="18" t="n">
        <x:v>2211</x:v>
      </x:c>
      <x:c r="F50" s="18" t="n">
        <x:v>1331</x:v>
      </x:c>
      <x:c r="G50" s="18" t="n">
        <x:v>11906</x:v>
      </x:c>
      <x:c r="H50" s="18" t="n">
        <x:v>131</x:v>
      </x:c>
      <x:c r="I50" s="20" t="n">
        <x:v>98.88972337420273</x:v>
      </x:c>
      <x:c r="J50" s="20" t="n">
        <x:v>11.35</x:v>
      </x:c>
      <x:c r="K50" s="18" t="n">
        <x:v>1584</x:v>
      </x:c>
      <x:c r="L50" s="18" t="n">
        <x:v>1393</x:v>
      </x:c>
      <x:c r="M50" s="18" t="n">
        <x:v>56</x:v>
      </x:c>
      <x:c r="N50" s="18" t="n">
        <x:v>3</x:v>
      </x:c>
      <x:c r="O50" s="22" t="n">
        <x:v>5.748582503595799e+73</x:v>
      </x:c>
      <x:c r="P50" s="22" t="n">
        <x:v>5.748582503483501e+73</x:v>
      </x:c>
      <x:c r="Q50" s="22" t="n">
        <x:v>6.7066795875283204e+72</x:v>
      </x:c>
      <x:c r="R50" s="22" t="n">
        <x:v>1.6772064312490657e+74</x:v>
      </x:c>
      <x:c r="S50" s="24" t="n">
        <x:v>0.8</x:v>
      </x:c>
      <x:c r="T50" s="20" t="n">
        <x:v>31.01</x:v>
      </x:c>
      <x:c r="U50" s="22" t="n">
        <x:v>6.4830778706269975e+66</x:v>
      </x:c>
      <x:c r="V50" s="22" t="n">
        <x:v>1.2977249819031122e+67</x:v>
      </x:c>
      <x:c r="W50" s="22" t="n">
        <x:v>1.1462682636255345e+68</x:v>
      </x:c>
      <x:c r="X50" s="22" t="n">
        <x:v>1.7701173736163083e+94</x:v>
      </x:c>
      <x:c r="Y50" s="22" t="n">
        <x:v>3.5066136676404614e+92</x:v>
      </x:c>
      <x:c r="Z50" s="22" t="n">
        <x:v>1.0495825615549069e+93</x:v>
      </x:c>
      <x:c r="AA50" s="22" t="n">
        <x:v>1.874961678381917e+91</x:v>
      </x:c>
      <x:c r="AB50" s="22" t="n">
        <x:v>1.8750756297718275e+94</x:v>
      </x:c>
      <x:c r="AC50" s="22" t="n">
        <x:v>3.694109835478663e+92</x:v>
      </x:c>
      <x:c r="AD50" s="18" t="n">
        <x:v>1584</x:v>
      </x:c>
      <x:c r="AE50" s="18" t="n">
        <x:v>1584</x:v>
      </x:c>
      <x:c r="AF50" s="18" t="n">
        <x:v>1573</x:v>
      </x:c>
      <x:c r="AG50" s="18" t="n">
        <x:v>1571</x:v>
      </x:c>
      <x:c r="AH50" s="18" t="n">
        <x:v>1393</x:v>
      </x:c>
      <x:c r="AI50" s="18" t="n">
        <x:v>1393</x:v>
      </x:c>
      <x:c r="AJ50" s="18" t="n">
        <x:v>1382</x:v>
      </x:c>
      <x:c r="AK50" s="18" t="n">
        <x:v>1380</x:v>
      </x:c>
      <x:c r="AL50" s="22" t="n">
        <x:v>3.529724939890042e+75</x:v>
      </x:c>
      <x:c r="AM50" s="22" t="n">
        <x:v>1.6625871999325027e+61</x:v>
      </x:c>
      <x:c r="AN50" s="22" t="n">
        <x:v>3.605914672638157e+92</x:v>
      </x:c>
      <x:c r="AO50" s="22" t="n">
        <x:v>3.0049288938651287e+91</x:v>
      </x:c>
      <x:c r="AP50" s="22" t="n">
        <x:v>1.5610657286728636e+66</x:v>
      </x:c>
      <x:c r="AQ50" s="18" t="n">
        <x:v>171</x:v>
      </x:c>
      <x:c r="AR50" s="18" t="n">
        <x:v>0</x:v>
      </x:c>
      <x:c r="AS50" s="18" t="n">
        <x:v>34</x:v>
      </x:c>
      <x:c r="AT50" s="18" t="n">
        <x:v>34</x:v>
      </x:c>
    </x:row>
    <x:row r="51" ht="25" customHeight="1">
      <x:c r="A51" s="19" t="str">
        <x:v>hourly_balanced</x:v>
      </x:c>
      <x:c r="B51" s="19" t="n">
        <x:v>4</x:v>
      </x:c>
      <x:c r="C51" s="19" t="n">
        <x:v>7</x:v>
      </x:c>
      <x:c r="D51" s="19" t="n">
        <x:v>2214</x:v>
      </x:c>
      <x:c r="E51" s="19" t="n">
        <x:v>2214</x:v>
      </x:c>
      <x:c r="F51" s="19" t="n">
        <x:v>1333</x:v>
      </x:c>
      <x:c r="G51" s="19" t="n">
        <x:v>11949</x:v>
      </x:c>
      <x:c r="H51" s="19" t="n">
        <x:v>132</x:v>
      </x:c>
      <x:c r="I51" s="21" t="n">
        <x:v>93.8087061487895</x:v>
      </x:c>
      <x:c r="J51" s="21" t="n">
        <x:v>9.35</x:v>
      </x:c>
      <x:c r="K51" s="19" t="n">
        <x:v>1586</x:v>
      </x:c>
      <x:c r="L51" s="19" t="n">
        <x:v>1397</x:v>
      </x:c>
      <x:c r="M51" s="19" t="n">
        <x:v>56</x:v>
      </x:c>
      <x:c r="N51" s="19" t="n">
        <x:v>5</x:v>
      </x:c>
      <x:c r="O51" s="23" t="n">
        <x:v>7.936493184756207e+73</x:v>
      </x:c>
      <x:c r="P51" s="23" t="n">
        <x:v>7.936493184608958e+73</x:v>
      </x:c>
      <x:c r="Q51" s="23" t="n">
        <x:v>9.259242048882691e+72</x:v>
      </x:c>
      <x:c r="R51" s="23" t="n">
        <x:v>2.3192549484041046e+74</x:v>
      </x:c>
      <x:c r="S51" s="25" t="n">
        <x:v>0.8</x:v>
      </x:c>
      <x:c r="T51" s="21" t="n">
        <x:v>31.060000000000002</x:v>
      </x:c>
      <x:c r="U51" s="23" t="n">
        <x:v>8.592018426289381e+66</x:v>
      </x:c>
      <x:c r="V51" s="23" t="n">
        <x:v>1.6278662172992664e+67</x:v>
      </x:c>
      <x:c r="W51" s="23" t="n">
        <x:v>1.4424753653455972e+68</x:v>
      </x:c>
      <x:c r="X51" s="23" t="n">
        <x:v>2.455191683460648e+94</x:v>
      </x:c>
      <x:c r="Y51" s="23" t="n">
        <x:v>5.610788961771652e+92</x:v>
      </x:c>
      <x:c r="Z51" s="23" t="n">
        <x:v>1.3652342835125764e+93</x:v>
      </x:c>
      <x:c r="AA51" s="23" t="n">
        <x:v>3.3500063947907044e+91</x:v>
      </x:c>
      <x:c r="AB51" s="23" t="n">
        <x:v>2.5917151118119368e+94</x:v>
      </x:c>
      <x:c r="AC51" s="23" t="n">
        <x:v>5.945789601250643e+92</x:v>
      </x:c>
      <x:c r="AD51" s="19" t="n">
        <x:v>1586</x:v>
      </x:c>
      <x:c r="AE51" s="19" t="n">
        <x:v>1586</x:v>
      </x:c>
      <x:c r="AF51" s="19" t="n">
        <x:v>1575</x:v>
      </x:c>
      <x:c r="AG51" s="19" t="n">
        <x:v>1573</x:v>
      </x:c>
      <x:c r="AH51" s="19" t="n">
        <x:v>1397</x:v>
      </x:c>
      <x:c r="AI51" s="19" t="n">
        <x:v>1397</x:v>
      </x:c>
      <x:c r="AJ51" s="19" t="n">
        <x:v>1386</x:v>
      </x:c>
      <x:c r="AK51" s="19" t="n">
        <x:v>1383</x:v>
      </x:c>
      <x:c r="AL51" s="23" t="n">
        <x:v>4.4464368634787834e+75</x:v>
      </x:c>
      <x:c r="AM51" s="23" t="n">
        <x:v>2.008321584688242e+61</x:v>
      </x:c>
      <x:c r="AN51" s="23" t="n">
        <x:v>4.799472429281358e+92</x:v>
      </x:c>
      <x:c r="AO51" s="23" t="n">
        <x:v>3.999560357734463e+91</x:v>
      </x:c>
      <x:c r="AP51" s="23" t="n">
        <x:v>1.9123726434506154e+66</x:v>
      </x:c>
      <x:c r="AQ51" s="19" t="n">
        <x:v>178</x:v>
      </x:c>
      <x:c r="AR51" s="19" t="n">
        <x:v>0</x:v>
      </x:c>
      <x:c r="AS51" s="19" t="n">
        <x:v>35</x:v>
      </x:c>
      <x:c r="AT51" s="19" t="n">
        <x:v>35</x:v>
      </x:c>
    </x:row>
    <x:row r="52" ht="25" customHeight="1">
      <x:c r="A52" s="18" t="str">
        <x:v>hourly_balanced</x:v>
      </x:c>
      <x:c r="B52" s="18" t="n">
        <x:v>5</x:v>
      </x:c>
      <x:c r="C52" s="18" t="n">
        <x:v>7</x:v>
      </x:c>
      <x:c r="D52" s="18" t="n">
        <x:v>2216</x:v>
      </x:c>
      <x:c r="E52" s="18" t="n">
        <x:v>2216</x:v>
      </x:c>
      <x:c r="F52" s="18" t="n">
        <x:v>1334</x:v>
      </x:c>
      <x:c r="G52" s="18" t="n">
        <x:v>11920</x:v>
      </x:c>
      <x:c r="H52" s="18" t="n">
        <x:v>127</x:v>
      </x:c>
      <x:c r="I52" s="20" t="n">
        <x:v>94.17047835350968</x:v>
      </x:c>
      <x:c r="J52" s="20" t="n">
        <x:v>9.85</x:v>
      </x:c>
      <x:c r="K52" s="18" t="n">
        <x:v>1589</x:v>
      </x:c>
      <x:c r="L52" s="18" t="n">
        <x:v>1398</x:v>
      </x:c>
      <x:c r="M52" s="18" t="n">
        <x:v>56</x:v>
      </x:c>
      <x:c r="N52" s="18" t="n">
        <x:v>5</x:v>
      </x:c>
      <x:c r="O52" s="22" t="n">
        <x:v>9.791559925191166e+73</x:v>
      </x:c>
      <x:c r="P52" s="22" t="n">
        <x:v>9.791559924965286e+73</x:v>
      </x:c>
      <x:c r="Q52" s="22" t="n">
        <x:v>1.1423486579389878e+73</x:v>
      </x:c>
      <x:c r="R52" s="22" t="n">
        <x:v>2.8640965551846445e+74</x:v>
      </x:c>
      <x:c r="S52" s="24" t="n">
        <x:v>0.8</x:v>
      </x:c>
      <x:c r="T52" s="20" t="n">
        <x:v>31.09</x:v>
      </x:c>
      <x:c r="U52" s="22" t="n">
        <x:v>1.3214824297154972e+67</x:v>
      </x:c>
      <x:c r="V52" s="22" t="n">
        <x:v>1.82321016337515e+67</x:v>
      </x:c>
      <x:c r="W52" s="22" t="n">
        <x:v>1.6514900457841885e+68</x:v>
      </x:c>
      <x:c r="X52" s="22" t="n">
        <x:v>2.9397994642848494e+94</x:v>
      </x:c>
      <x:c r="Y52" s="22" t="n">
        <x:v>9.108843166523229e+92</x:v>
      </x:c>
      <x:c r="Z52" s="22" t="n">
        <x:v>1.9617582100757484e+93</x:v>
      </x:c>
      <x:c r="AA52" s="22" t="n">
        <x:v>3.8876824211545066e+91</x:v>
      </x:c>
      <x:c r="AB52" s="22" t="n">
        <x:v>3.1359752852923967e+94</x:v>
      </x:c>
      <x:c r="AC52" s="22" t="n">
        <x:v>9.497611408638594e+92</x:v>
      </x:c>
      <x:c r="AD52" s="18" t="n">
        <x:v>1589</x:v>
      </x:c>
      <x:c r="AE52" s="18" t="n">
        <x:v>1589</x:v>
      </x:c>
      <x:c r="AF52" s="18" t="n">
        <x:v>1577</x:v>
      </x:c>
      <x:c r="AG52" s="18" t="n">
        <x:v>1575</x:v>
      </x:c>
      <x:c r="AH52" s="18" t="n">
        <x:v>1398</x:v>
      </x:c>
      <x:c r="AI52" s="18" t="n">
        <x:v>1398</x:v>
      </x:c>
      <x:c r="AJ52" s="18" t="n">
        <x:v>1387</x:v>
      </x:c>
      <x:c r="AK52" s="18" t="n">
        <x:v>1384</x:v>
      </x:c>
      <x:c r="AL52" s="22" t="n">
        <x:v>5.186323957561668e+75</x:v>
      </x:c>
      <x:c r="AM52" s="22" t="n">
        <x:v>2.2778885493930522e+61</x:v>
      </x:c>
      <x:c r="AN52" s="22" t="n">
        <x:v>5.807361639430547e+92</x:v>
      </x:c>
      <x:c r="AO52" s="22" t="n">
        <x:v>4.839468032858786e+91</x:v>
      </x:c>
      <x:c r="AP52" s="22" t="n">
        <x:v>2.1894754394866284e+66</x:v>
      </x:c>
      <x:c r="AQ52" s="18" t="n">
        <x:v>175</x:v>
      </x:c>
      <x:c r="AR52" s="18" t="n">
        <x:v>0</x:v>
      </x:c>
      <x:c r="AS52" s="18" t="n">
        <x:v>35</x:v>
      </x:c>
      <x:c r="AT52" s="18" t="n">
        <x:v>35</x:v>
      </x:c>
    </x:row>
    <x:row r="53" ht="25" customHeight="1">
      <x:c r="A53" s="19" t="str">
        <x:v>hourly_balanced</x:v>
      </x:c>
      <x:c r="B53" s="19" t="n">
        <x:v>6</x:v>
      </x:c>
      <x:c r="C53" s="19" t="n">
        <x:v>7</x:v>
      </x:c>
      <x:c r="D53" s="19" t="n">
        <x:v>2202</x:v>
      </x:c>
      <x:c r="E53" s="19" t="n">
        <x:v>2202</x:v>
      </x:c>
      <x:c r="F53" s="19" t="n">
        <x:v>1326</x:v>
      </x:c>
      <x:c r="G53" s="19" t="n">
        <x:v>11895</x:v>
      </x:c>
      <x:c r="H53" s="19" t="n">
        <x:v>136</x:v>
      </x:c>
      <x:c r="I53" s="21" t="n">
        <x:v>96.28137434186647</x:v>
      </x:c>
      <x:c r="J53" s="21" t="n">
        <x:v>10.35</x:v>
      </x:c>
      <x:c r="K53" s="19" t="n">
        <x:v>1577</x:v>
      </x:c>
      <x:c r="L53" s="19" t="n">
        <x:v>1389</x:v>
      </x:c>
      <x:c r="M53" s="19" t="n">
        <x:v>56</x:v>
      </x:c>
      <x:c r="N53" s="19" t="n">
        <x:v>3</x:v>
      </x:c>
      <x:c r="O53" s="23" t="n">
        <x:v>3.1199545517597534e+73</x:v>
      </x:c>
      <x:c r="P53" s="23" t="n">
        <x:v>3.119954551732189e+73</x:v>
      </x:c>
      <x:c r="Q53" s="23" t="n">
        <x:v>3.639946977053104e+72</x:v>
      </x:c>
      <x:c r="R53" s="23" t="n">
        <x:v>9.067835909234696e+73</x:v>
      </x:c>
      <x:c r="S53" s="25" t="n">
        <x:v>0.8</x:v>
      </x:c>
      <x:c r="T53" s="21" t="n">
        <x:v>30.89</x:v>
      </x:c>
      <x:c r="U53" s="23" t="n">
        <x:v>9.85731491530463e+65</x:v>
      </x:c>
      <x:c r="V53" s="23" t="n">
        <x:v>7.363640060687445e+66</x:v>
      </x:c>
      <x:c r="W53" s="23" t="n">
        <x:v>6.234939866392867e+67</x:v>
      </x:c>
      <x:c r="X53" s="23" t="n">
        <x:v>7.533984259903396e+93</x:v>
      </x:c>
      <x:c r="Y53" s="23" t="n">
        <x:v>1.7621582304511597e+92</x:v>
      </x:c>
      <x:c r="Z53" s="23" t="n">
        <x:v>4.1816682864149337e+92</x:v>
      </x:c>
      <x:c r="AA53" s="23" t="n">
        <x:v>1.0183204789048496e+91</x:v>
      </x:c>
      <x:c r="AB53" s="23" t="n">
        <x:v>7.952151088544815e+93</x:v>
      </x:c>
      <x:c r="AC53" s="23" t="n">
        <x:v>1.8639902783416232e+92</x:v>
      </x:c>
      <x:c r="AD53" s="19" t="n">
        <x:v>1577</x:v>
      </x:c>
      <x:c r="AE53" s="19" t="n">
        <x:v>1577</x:v>
      </x:c>
      <x:c r="AF53" s="19" t="n">
        <x:v>1566</x:v>
      </x:c>
      <x:c r="AG53" s="19" t="n">
        <x:v>1564</x:v>
      </x:c>
      <x:c r="AH53" s="19" t="n">
        <x:v>1389</x:v>
      </x:c>
      <x:c r="AI53" s="19" t="n">
        <x:v>1389</x:v>
      </x:c>
      <x:c r="AJ53" s="19" t="n">
        <x:v>1378</x:v>
      </x:c>
      <x:c r="AK53" s="19" t="n">
        <x:v>1375</x:v>
      </x:c>
      <x:c r="AL53" s="23" t="n">
        <x:v>1.7657412554381232e+75</x:v>
      </x:c>
      <x:c r="AM53" s="23" t="n">
        <x:v>9.432742144294918e+60</x:v>
      </x:c>
      <x:c r="AN53" s="23" t="n">
        <x:v>1.5292598247202181e+92</x:v>
      </x:c>
      <x:c r="AO53" s="23" t="n">
        <x:v>1.2743831872668478e+91</x:v>
      </x:c>
      <x:c r="AP53" s="23" t="n">
        <x:v>8.49116324216904e+65</x:v>
      </x:c>
      <x:c r="AQ53" s="19" t="n">
        <x:v>174</x:v>
      </x:c>
      <x:c r="AR53" s="19" t="n">
        <x:v>0</x:v>
      </x:c>
      <x:c r="AS53" s="19" t="n">
        <x:v>35</x:v>
      </x:c>
      <x:c r="AT53" s="19" t="n">
        <x:v>35</x:v>
      </x:c>
    </x:row>
    <x:row r="54" ht="25" customHeight="1">
      <x:c r="A54" s="18" t="str">
        <x:v>hourly_balanced</x:v>
      </x:c>
      <x:c r="B54" s="18" t="n">
        <x:v>7</x:v>
      </x:c>
      <x:c r="C54" s="18" t="n">
        <x:v>7</x:v>
      </x:c>
      <x:c r="D54" s="18" t="n">
        <x:v>2215</x:v>
      </x:c>
      <x:c r="E54" s="18" t="n">
        <x:v>2215</x:v>
      </x:c>
      <x:c r="F54" s="18" t="n">
        <x:v>1333</x:v>
      </x:c>
      <x:c r="G54" s="18" t="n">
        <x:v>11942</x:v>
      </x:c>
      <x:c r="H54" s="18" t="n">
        <x:v>129</x:v>
      </x:c>
      <x:c r="I54" s="20" t="n">
        <x:v>98.09703867786448</x:v>
      </x:c>
      <x:c r="J54" s="20" t="n">
        <x:v>9.35</x:v>
      </x:c>
      <x:c r="K54" s="18" t="n">
        <x:v>1586</x:v>
      </x:c>
      <x:c r="L54" s="18" t="n">
        <x:v>1397</x:v>
      </x:c>
      <x:c r="M54" s="18" t="n">
        <x:v>56</x:v>
      </x:c>
      <x:c r="N54" s="18" t="n">
        <x:v>2</x:v>
      </x:c>
      <x:c r="O54" s="22" t="n">
        <x:v>7.936493184756207e+73</x:v>
      </x:c>
      <x:c r="P54" s="22" t="n">
        <x:v>7.93649318452248e+73</x:v>
      </x:c>
      <x:c r="Q54" s="22" t="n">
        <x:v>9.259242048882691e+72</x:v>
      </x:c>
      <x:c r="R54" s="22" t="n">
        <x:v>2.3192549484041046e+74</x:v>
      </x:c>
      <x:c r="S54" s="24" t="n">
        <x:v>0.8</x:v>
      </x:c>
      <x:c r="T54" s="20" t="n">
        <x:v>31.060000000000002</x:v>
      </x:c>
      <x:c r="U54" s="22" t="n">
        <x:v>1.2550629798232083e+67</x:v>
      </x:c>
      <x:c r="V54" s="22" t="n">
        <x:v>1.6278662172992664e+67</x:v>
      </x:c>
      <x:c r="W54" s="22" t="n">
        <x:v>1.4820614790650425e+68</x:v>
      </x:c>
      <x:c r="X54" s="22" t="n">
        <x:v>2.5602650165110006e+94</x:v>
      </x:c>
      <x:c r="Y54" s="22" t="n">
        <x:v>6.146117599871992e+92</x:v>
      </x:c>
      <x:c r="Z54" s="22" t="n">
        <x:v>1.3223901631560195e+93</x:v>
      </x:c>
      <x:c r="AA54" s="22" t="n">
        <x:v>3.400736439248051e+91</x:v>
      </x:c>
      <x:c r="AB54" s="22" t="n">
        <x:v>2.692504032826571e+94</x:v>
      </x:c>
      <x:c r="AC54" s="22" t="n">
        <x:v>6.486191243796814e+92</x:v>
      </x:c>
      <x:c r="AD54" s="18" t="n">
        <x:v>1586</x:v>
      </x:c>
      <x:c r="AE54" s="18" t="n">
        <x:v>1586</x:v>
      </x:c>
      <x:c r="AF54" s="18" t="n">
        <x:v>1574</x:v>
      </x:c>
      <x:c r="AG54" s="18" t="n">
        <x:v>1572</x:v>
      </x:c>
      <x:c r="AH54" s="18" t="n">
        <x:v>1397</x:v>
      </x:c>
      <x:c r="AI54" s="18" t="n">
        <x:v>1397</x:v>
      </x:c>
      <x:c r="AJ54" s="18" t="n">
        <x:v>1386</x:v>
      </x:c>
      <x:c r="AK54" s="18" t="n">
        <x:v>1384</x:v>
      </x:c>
      <x:c r="AL54" s="22" t="n">
        <x:v>4.802151812557093e+75</x:v>
      </x:c>
      <x:c r="AM54" s="22" t="n">
        <x:v>2.138862487692992e+61</x:v>
      </x:c>
      <x:c r="AN54" s="22" t="n">
        <x:v>5.279419672209541e+92</x:v>
      </x:c>
      <x:c r="AO54" s="22" t="n">
        <x:v>4.399516393507948e+91</x:v>
      </x:c>
      <x:c r="AP54" s="22" t="n">
        <x:v>2.046238728492167e+66</x:v>
      </x:c>
      <x:c r="AQ54" s="18" t="n">
        <x:v>178</x:v>
      </x:c>
      <x:c r="AR54" s="18" t="n">
        <x:v>0</x:v>
      </x:c>
      <x:c r="AS54" s="18" t="n">
        <x:v>36</x:v>
      </x:c>
      <x:c r="AT54" s="18" t="n">
        <x:v>36</x:v>
      </x:c>
    </x:row>
    <x:row r="55" ht="25" customHeight="1">
      <x:c r="A55" s="19" t="str">
        <x:v>hourly_balanced</x:v>
      </x:c>
      <x:c r="B55" s="19" t="n">
        <x:v>8</x:v>
      </x:c>
      <x:c r="C55" s="19" t="n">
        <x:v>7</x:v>
      </x:c>
      <x:c r="D55" s="19" t="n">
        <x:v>2217</x:v>
      </x:c>
      <x:c r="E55" s="19" t="n">
        <x:v>2217</x:v>
      </x:c>
      <x:c r="F55" s="19" t="n">
        <x:v>1335</x:v>
      </x:c>
      <x:c r="G55" s="19" t="n">
        <x:v>11944</x:v>
      </x:c>
      <x:c r="H55" s="19" t="n">
        <x:v>131</x:v>
      </x:c>
      <x:c r="I55" s="21" t="n">
        <x:v>94.93437771455501</x:v>
      </x:c>
      <x:c r="J55" s="21" t="n">
        <x:v>9.35</x:v>
      </x:c>
      <x:c r="K55" s="19" t="n">
        <x:v>1588</x:v>
      </x:c>
      <x:c r="L55" s="19" t="n">
        <x:v>1400</x:v>
      </x:c>
      <x:c r="M55" s="19" t="n">
        <x:v>56</x:v>
      </x:c>
      <x:c r="N55" s="19" t="n">
        <x:v>5</x:v>
      </x:c>
      <x:c r="O55" s="23" t="n">
        <x:v>1.0435354990272608e+74</x:v>
      </x:c>
      <x:c r="P55" s="23" t="n">
        <x:v>1.0435354990208755e+74</x:v>
      </x:c>
      <x:c r="Q55" s="23" t="n">
        <x:v>1.2174580821984507e+73</x:v>
      </x:c>
      <x:c r="R55" s="23" t="n">
        <x:v>3.054358836619478e+74</x:v>
      </x:c>
      <x:c r="S55" s="25" t="n">
        <x:v>0.8</x:v>
      </x:c>
      <x:c r="T55" s="21" t="n">
        <x:v>31.11</x:v>
      </x:c>
      <x:c r="U55" s="23" t="n">
        <x:v>6.54315298389339e+66</x:v>
      </x:c>
      <x:c r="V55" s="23" t="n">
        <x:v>2.041995382980203e+67</x:v>
      </x:c>
      <x:c r="W55" s="23" t="n">
        <x:v>1.7670943489890893e+68</x:v>
      </x:c>
      <x:c r="X55" s="23" t="n">
        <x:v>3.27756420267987e+94</x:v>
      </x:c>
      <x:c r="Y55" s="23" t="n">
        <x:v>7.448315030911892e+92</x:v>
      </x:c>
      <x:c r="Z55" s="23" t="n">
        <x:v>1.7200861114211098e+93</x:v>
      </x:c>
      <x:c r="AA55" s="23" t="n">
        <x:v>5.438981400270109e+91</x:v>
      </x:c>
      <x:c r="AB55" s="23" t="n">
        <x:v>3.449572813822006e+94</x:v>
      </x:c>
      <x:c r="AC55" s="23" t="n">
        <x:v>7.992213170938907e+92</x:v>
      </x:c>
      <x:c r="AD55" s="19" t="n">
        <x:v>1588</x:v>
      </x:c>
      <x:c r="AE55" s="19" t="n">
        <x:v>1588</x:v>
      </x:c>
      <x:c r="AF55" s="19" t="n">
        <x:v>1576</x:v>
      </x:c>
      <x:c r="AG55" s="19" t="n">
        <x:v>1574</x:v>
      </x:c>
      <x:c r="AH55" s="19" t="n">
        <x:v>1400</x:v>
      </x:c>
      <x:c r="AI55" s="19" t="n">
        <x:v>1400</x:v>
      </x:c>
      <x:c r="AJ55" s="19" t="n">
        <x:v>1390</x:v>
      </x:c>
      <x:c r="AK55" s="19" t="n">
        <x:v>1387</x:v>
      </x:c>
      <x:c r="AL55" s="23" t="n">
        <x:v>5.601229874166609e+75</x:v>
      </x:c>
      <x:c r="AM55" s="23" t="n">
        <x:v>2.4259513051036168e+61</x:v>
      </x:c>
      <x:c r="AN55" s="23" t="n">
        <x:v>6.388097803373659e+92</x:v>
      </x:c>
      <x:c r="AO55" s="23" t="n">
        <x:v>5.323414836144712e+91</x:v>
      </x:c>
      <x:c r="AP55" s="23" t="n">
        <x:v>2.3427387202507024e+66</x:v>
      </x:c>
      <x:c r="AQ55" s="19" t="n">
        <x:v>181</x:v>
      </x:c>
      <x:c r="AR55" s="19" t="n">
        <x:v>0</x:v>
      </x:c>
      <x:c r="AS55" s="19" t="n">
        <x:v>36</x:v>
      </x:c>
      <x:c r="AT55" s="19" t="n">
        <x:v>36</x:v>
      </x:c>
    </x:row>
    <x:row r="56" ht="25" customHeight="1">
      <x:c r="A56" s="18" t="str">
        <x:v>hourly_balanced</x:v>
      </x:c>
      <x:c r="B56" s="18" t="n">
        <x:v>9</x:v>
      </x:c>
      <x:c r="C56" s="18" t="n">
        <x:v>7</x:v>
      </x:c>
      <x:c r="D56" s="18" t="n">
        <x:v>2213</x:v>
      </x:c>
      <x:c r="E56" s="18" t="n">
        <x:v>2213</x:v>
      </x:c>
      <x:c r="F56" s="18" t="n">
        <x:v>1332</x:v>
      </x:c>
      <x:c r="G56" s="18" t="n">
        <x:v>11916</x:v>
      </x:c>
      <x:c r="H56" s="18" t="n">
        <x:v>133</x:v>
      </x:c>
      <x:c r="I56" s="20" t="n">
        <x:v>104.80850017876946</x:v>
      </x:c>
      <x:c r="J56" s="20" t="n">
        <x:v>11.35</x:v>
      </x:c>
      <x:c r="K56" s="18" t="n">
        <x:v>1585</x:v>
      </x:c>
      <x:c r="L56" s="18" t="n">
        <x:v>1395</x:v>
      </x:c>
      <x:c r="M56" s="18" t="n">
        <x:v>56</x:v>
      </x:c>
      <x:c r="N56" s="18" t="n">
        <x:v>1</x:v>
      </x:c>
      <x:c r="O56" s="22" t="n">
        <x:v>6.754523363035828e+73</x:v>
      </x:c>
      <x:c r="P56" s="22" t="n">
        <x:v>6.754523362952724e+73</x:v>
      </x:c>
      <x:c r="Q56" s="22" t="n">
        <x:v>7.880277256875e+72</x:v>
      </x:c>
      <x:c r="R56" s="22" t="n">
        <x:v>1.9719605807603793e+74</x:v>
      </x:c>
      <x:c r="S56" s="24" t="n">
        <x:v>0.8</x:v>
      </x:c>
      <x:c r="T56" s="20" t="n">
        <x:v>31.03</x:v>
      </x:c>
      <x:c r="U56" s="22" t="n">
        <x:v>6.5407268860143606e+66</x:v>
      </x:c>
      <x:c r="V56" s="22" t="n">
        <x:v>1.4534519797315105e+67</x:v>
      </x:c>
      <x:c r="W56" s="22" t="n">
        <x:v>1.2766172519697181e+68</x:v>
      </x:c>
      <x:c r="X56" s="22" t="n">
        <x:v>2.061873485800694e+94</x:v>
      </x:c>
      <x:c r="Y56" s="22" t="n">
        <x:v>3.7417097808284806e+92</x:v>
      </x:c>
      <x:c r="Z56" s="22" t="n">
        <x:v>1.1970489114533936e+93</x:v>
      </x:c>
      <x:c r="AA56" s="22" t="n">
        <x:v>2.487455651286609e+91</x:v>
      </x:c>
      <x:c r="AB56" s="22" t="n">
        <x:v>2.1815783769460523e+94</x:v>
      </x:c>
      <x:c r="AC56" s="22" t="n">
        <x:v>3.9904553459571445e+92</x:v>
      </x:c>
      <x:c r="AD56" s="18" t="n">
        <x:v>1585</x:v>
      </x:c>
      <x:c r="AE56" s="18" t="n">
        <x:v>1585</x:v>
      </x:c>
      <x:c r="AF56" s="18" t="n">
        <x:v>1574</x:v>
      </x:c>
      <x:c r="AG56" s="18" t="n">
        <x:v>1572</x:v>
      </x:c>
      <x:c r="AH56" s="18" t="n">
        <x:v>1395</x:v>
      </x:c>
      <x:c r="AI56" s="18" t="n">
        <x:v>1395</x:v>
      </x:c>
      <x:c r="AJ56" s="18" t="n">
        <x:v>1384</x:v>
      </x:c>
      <x:c r="AK56" s="18" t="n">
        <x:v>1381</x:v>
      </x:c>
      <x:c r="AL56" s="22" t="n">
        <x:v>4.117071169887757e+75</x:v>
      </x:c>
      <x:c r="AM56" s="22" t="n">
        <x:v>1.8857479668434685e+61</x:v>
      </x:c>
      <x:c r="AN56" s="22" t="n">
        <x:v>4.3631567538921047e+92</x:v>
      </x:c>
      <x:c r="AO56" s="22" t="n">
        <x:v>3.635963961576752e+91</x:v>
      </x:c>
      <x:c r="AP56" s="22" t="n">
        <x:v>1.7872641527576354e+66</x:v>
      </x:c>
      <x:c r="AQ56" s="18" t="n">
        <x:v>174</x:v>
      </x:c>
      <x:c r="AR56" s="18" t="n">
        <x:v>0</x:v>
      </x:c>
      <x:c r="AS56" s="18" t="n">
        <x:v>35</x:v>
      </x:c>
      <x:c r="AT56" s="18" t="n">
        <x:v>35</x:v>
      </x:c>
    </x:row>
    <x:row r="57" ht="25" customHeight="1">
      <x:c r="A57" s="19" t="str">
        <x:v>hourly_balanced</x:v>
      </x:c>
      <x:c r="B57" s="19" t="n">
        <x:v>10</x:v>
      </x:c>
      <x:c r="C57" s="19" t="n">
        <x:v>7</x:v>
      </x:c>
      <x:c r="D57" s="19" t="n">
        <x:v>2216</x:v>
      </x:c>
      <x:c r="E57" s="19" t="n">
        <x:v>2216</x:v>
      </x:c>
      <x:c r="F57" s="19" t="n">
        <x:v>1334</x:v>
      </x:c>
      <x:c r="G57" s="19" t="n">
        <x:v>11944</x:v>
      </x:c>
      <x:c r="H57" s="19" t="n">
        <x:v>132</x:v>
      </x:c>
      <x:c r="I57" s="21" t="n">
        <x:v>95.77351469083806</x:v>
      </x:c>
      <x:c r="J57" s="21" t="n">
        <x:v>9.35</x:v>
      </x:c>
      <x:c r="K57" s="19" t="n">
        <x:v>1587</x:v>
      </x:c>
      <x:c r="L57" s="19" t="n">
        <x:v>1398</x:v>
      </x:c>
      <x:c r="M57" s="19" t="n">
        <x:v>56</x:v>
      </x:c>
      <x:c r="N57" s="19" t="n">
        <x:v>3</x:v>
      </x:c>
      <x:c r="O57" s="23" t="n">
        <x:v>8.881233492236877e+73</x:v>
      </x:c>
      <x:c r="P57" s="23" t="n">
        <x:v>8.88123349209041e+73</x:v>
      </x:c>
      <x:c r="Q57" s="23" t="n">
        <x:v>1.0361439074276523e+73</x:v>
      </x:c>
      <x:c r="R57" s="23" t="n">
        <x:v>2.596991089576675e+74</x:v>
      </x:c>
      <x:c r="S57" s="25" t="n">
        <x:v>0.8</x:v>
      </x:c>
      <x:c r="T57" s="21" t="n">
        <x:v>31.08</x:v>
      </x:c>
      <x:c r="U57" s="23" t="n">
        <x:v>8.835873418181533e+66</x:v>
      </x:c>
      <x:c r="V57" s="23" t="n">
        <x:v>1.82321016337515e+67</x:v>
      </x:c>
      <x:c r="W57" s="23" t="n">
        <x:v>1.607700536994459e+68</x:v>
      </x:c>
      <x:c r="X57" s="23" t="n">
        <x:v>2.869009454395747e+94</x:v>
      </x:c>
      <x:c r="Y57" s="23" t="n">
        <x:v>6.243515565104546e+92</x:v>
      </x:c>
      <x:c r="Z57" s="23" t="n">
        <x:v>1.5081859810794686e+93</x:v>
      </x:c>
      <x:c r="AA57" s="23" t="n">
        <x:v>3.946554637747256e+91</x:v>
      </x:c>
      <x:c r="AB57" s="23" t="n">
        <x:v>3.019828052503664e+94</x:v>
      </x:c>
      <x:c r="AC57" s="23" t="n">
        <x:v>6.638171028879358e+92</x:v>
      </x:c>
      <x:c r="AD57" s="19" t="n">
        <x:v>1587</x:v>
      </x:c>
      <x:c r="AE57" s="19" t="n">
        <x:v>1587</x:v>
      </x:c>
      <x:c r="AF57" s="19" t="n">
        <x:v>1575</x:v>
      </x:c>
      <x:c r="AG57" s="19" t="n">
        <x:v>1573</x:v>
      </x:c>
      <x:c r="AH57" s="19" t="n">
        <x:v>1398</x:v>
      </x:c>
      <x:c r="AI57" s="19" t="n">
        <x:v>1398</x:v>
      </x:c>
      <x:c r="AJ57" s="19" t="n">
        <x:v>1387</x:v>
      </x:c>
      <x:c r="AK57" s="19" t="n">
        <x:v>1385</x:v>
      </x:c>
      <x:c r="AL57" s="23" t="n">
        <x:v>5.186323957561668e+75</x:v>
      </x:c>
      <x:c r="AM57" s="23" t="n">
        <x:v>2.2778885493930522e+61</x:v>
      </x:c>
      <x:c r="AN57" s="23" t="n">
        <x:v>5.807361639430547e+92</x:v>
      </x:c>
      <x:c r="AO57" s="23" t="n">
        <x:v>4.839468032858786e+91</x:v>
      </x:c>
      <x:c r="AP57" s="23" t="n">
        <x:v>2.1894754394866284e+66</x:v>
      </x:c>
      <x:c r="AQ57" s="19" t="n">
        <x:v>179</x:v>
      </x:c>
      <x:c r="AR57" s="19" t="n">
        <x:v>0</x:v>
      </x:c>
      <x:c r="AS57" s="19" t="n">
        <x:v>36</x:v>
      </x:c>
      <x:c r="AT57" s="19" t="n">
        <x:v>36</x:v>
      </x:c>
    </x:row>
    <x:row r="58" ht="25" customHeight="1">
      <x:c r="A58" s="18" t="str">
        <x:v>hourly_balanced</x:v>
      </x:c>
      <x:c r="B58" s="18" t="n">
        <x:v>11</x:v>
      </x:c>
      <x:c r="C58" s="18" t="n">
        <x:v>7</x:v>
      </x:c>
      <x:c r="D58" s="18" t="n">
        <x:v>2218</x:v>
      </x:c>
      <x:c r="E58" s="18" t="n">
        <x:v>2218</x:v>
      </x:c>
      <x:c r="F58" s="18" t="n">
        <x:v>1335</x:v>
      </x:c>
      <x:c r="G58" s="18" t="n">
        <x:v>11947</x:v>
      </x:c>
      <x:c r="H58" s="18" t="n">
        <x:v>130</x:v>
      </x:c>
      <x:c r="I58" s="20" t="n">
        <x:v>101.92842541725258</x:v>
      </x:c>
      <x:c r="J58" s="20" t="n">
        <x:v>11.35</x:v>
      </x:c>
      <x:c r="K58" s="18" t="n">
        <x:v>1589</x:v>
      </x:c>
      <x:c r="L58" s="18" t="n">
        <x:v>1398</x:v>
      </x:c>
      <x:c r="M58" s="18" t="n">
        <x:v>56</x:v>
      </x:c>
      <x:c r="N58" s="18" t="n">
        <x:v>4</x:v>
      </x:c>
      <x:c r="O58" s="22" t="n">
        <x:v>9.938433324068983e+73</x:v>
      </x:c>
      <x:c r="P58" s="22" t="n">
        <x:v>9.938433323786383e+73</x:v>
      </x:c>
      <x:c r="Q58" s="22" t="n">
        <x:v>1.1594838878080666e+73</x:v>
      </x:c>
      <x:c r="R58" s="22" t="n">
        <x:v>2.9089131777328826e+74</x:v>
      </x:c>
      <x:c r="S58" s="24" t="n">
        <x:v>0.8</x:v>
      </x:c>
      <x:c r="T58" s="20" t="n">
        <x:v>31.11</x:v>
      </x:c>
      <x:c r="U58" s="22" t="n">
        <x:v>1.6406082996149026e+67</x:v>
      </x:c>
      <x:c r="V58" s="22" t="n">
        <x:v>2.041995382980203e+67</x:v>
      </x:c>
      <x:c r="W58" s="22" t="n">
        <x:v>1.8657236491116737e+68</x:v>
      </x:c>
      <x:c r="X58" s="22" t="n">
        <x:v>3.5217292977177555e+94</x:v>
      </x:c>
      <x:c r="Y58" s="22" t="n">
        <x:v>7.981624346798335e+92</x:v>
      </x:c>
      <x:c r="Z58" s="22" t="n">
        <x:v>2.025317216490584e+93</x:v>
      </x:c>
      <x:c r="AA58" s="22" t="n">
        <x:v>3.946554637747256e+91</x:v>
      </x:c>
      <x:c r="AB58" s="22" t="n">
        <x:v>3.7242610193668695e+94</x:v>
      </x:c>
      <x:c r="AC58" s="22" t="n">
        <x:v>8.376279810572957e+92</x:v>
      </x:c>
      <x:c r="AD58" s="18" t="n">
        <x:v>1589</x:v>
      </x:c>
      <x:c r="AE58" s="18" t="n">
        <x:v>1589</x:v>
      </x:c>
      <x:c r="AF58" s="18" t="n">
        <x:v>1578</x:v>
      </x:c>
      <x:c r="AG58" s="18" t="n">
        <x:v>1576</x:v>
      </x:c>
      <x:c r="AH58" s="18" t="n">
        <x:v>1398</x:v>
      </x:c>
      <x:c r="AI58" s="18" t="n">
        <x:v>1398</x:v>
      </x:c>
      <x:c r="AJ58" s="18" t="n">
        <x:v>1387</x:v>
      </x:c>
      <x:c r="AK58" s="18" t="n">
        <x:v>1385</x:v>
      </x:c>
      <x:c r="AL58" s="22" t="n">
        <x:v>6.049328264099946e+75</x:v>
      </x:c>
      <x:c r="AM58" s="22" t="n">
        <x:v>2.583638139935327e+61</x:v>
      </x:c>
      <x:c r="AN58" s="22" t="n">
        <x:v>7.026907583710857e+92</x:v>
      </x:c>
      <x:c r="AO58" s="22" t="n">
        <x:v>5.855756319759044e+91</x:v>
      </x:c>
      <x:c r="AP58" s="22" t="n">
        <x:v>2.506730430668262e+66</x:v>
      </x:c>
      <x:c r="AQ58" s="18" t="n">
        <x:v>170</x:v>
      </x:c>
      <x:c r="AR58" s="18" t="n">
        <x:v>0</x:v>
      </x:c>
      <x:c r="AS58" s="18" t="n">
        <x:v>34</x:v>
      </x:c>
      <x:c r="AT58" s="18" t="n">
        <x:v>34</x:v>
      </x:c>
    </x:row>
    <x:row r="59" ht="25" customHeight="1">
      <x:c r="A59" s="19" t="str">
        <x:v>hourly_balanced</x:v>
      </x:c>
      <x:c r="B59" s="19" t="n">
        <x:v>12</x:v>
      </x:c>
      <x:c r="C59" s="19" t="n">
        <x:v>7</x:v>
      </x:c>
      <x:c r="D59" s="19" t="n">
        <x:v>2213</x:v>
      </x:c>
      <x:c r="E59" s="19" t="n">
        <x:v>2213</x:v>
      </x:c>
      <x:c r="F59" s="19" t="n">
        <x:v>1332</x:v>
      </x:c>
      <x:c r="G59" s="19" t="n">
        <x:v>11936</x:v>
      </x:c>
      <x:c r="H59" s="19" t="n">
        <x:v>135</x:v>
      </x:c>
      <x:c r="I59" s="21" t="n">
        <x:v>102.39041488335351</x:v>
      </x:c>
      <x:c r="J59" s="21" t="n">
        <x:v>10.35</x:v>
      </x:c>
      <x:c r="K59" s="19" t="n">
        <x:v>1585</x:v>
      </x:c>
      <x:c r="L59" s="19" t="n">
        <x:v>1396</x:v>
      </x:c>
      <x:c r="M59" s="19" t="n">
        <x:v>56</x:v>
      </x:c>
      <x:c r="N59" s="19" t="n">
        <x:v>4</x:v>
      </x:c>
      <x:c r="O59" s="23" t="n">
        <x:v>7.092249531187506e+73</x:v>
      </x:c>
      <x:c r="P59" s="23" t="n">
        <x:v>7.092249531028538e+73</x:v>
      </x:c>
      <x:c r="Q59" s="23" t="n">
        <x:v>8.27429111971889e+72</x:v>
      </x:c>
      <x:c r="R59" s="23" t="n">
        <x:v>2.0712205530880304e+74</x:v>
      </x:c>
      <x:c r="S59" s="25" t="n">
        <x:v>0.8</x:v>
      </x:c>
      <x:c r="T59" s="21" t="n">
        <x:v>31.04</x:v>
      </x:c>
      <x:c r="U59" s="23" t="n">
        <x:v>1.1902519344287153e+67</x:v>
      </x:c>
      <x:c r="V59" s="23" t="n">
        <x:v>1.4534519797315105e+67</x:v>
      </x:c>
      <x:c r="W59" s="23" t="n">
        <x:v>1.3302351765524756e+68</x:v>
      </x:c>
      <x:c r="X59" s="23" t="n">
        <x:v>2.192768188417511e+94</x:v>
      </x:c>
      <x:c r="Y59" s="23" t="n">
        <x:v>5.629833168233352e+92</x:v>
      </x:c>
      <x:c r="Z59" s="23" t="n">
        <x:v>1.1970489114533936e+93</x:v>
      </x:c>
      <x:c r="AA59" s="23" t="n">
        <x:v>2.886692283318126e+91</x:v>
      </x:c>
      <x:c r="AB59" s="23" t="n">
        <x:v>2.3124730795628873e+94</x:v>
      </x:c>
      <x:c r="AC59" s="23" t="n">
        <x:v>5.918502396565173e+92</x:v>
      </x:c>
      <x:c r="AD59" s="19" t="n">
        <x:v>1585</x:v>
      </x:c>
      <x:c r="AE59" s="19" t="n">
        <x:v>1585</x:v>
      </x:c>
      <x:c r="AF59" s="19" t="n">
        <x:v>1574</x:v>
      </x:c>
      <x:c r="AG59" s="19" t="n">
        <x:v>1572</x:v>
      </x:c>
      <x:c r="AH59" s="19" t="n">
        <x:v>1396</x:v>
      </x:c>
      <x:c r="AI59" s="19" t="n">
        <x:v>1396</x:v>
      </x:c>
      <x:c r="AJ59" s="19" t="n">
        <x:v>1385</x:v>
      </x:c>
      <x:c r="AK59" s="19" t="n">
        <x:v>1382</x:v>
      </x:c>
      <x:c r="AL59" s="23" t="n">
        <x:v>4.117071169887757e+75</x:v>
      </x:c>
      <x:c r="AM59" s="23" t="n">
        <x:v>1.8857479668434685e+61</x:v>
      </x:c>
      <x:c r="AN59" s="23" t="n">
        <x:v>4.3631567538921047e+92</x:v>
      </x:c>
      <x:c r="AO59" s="23" t="n">
        <x:v>3.635963961576752e+91</x:v>
      </x:c>
      <x:c r="AP59" s="23" t="n">
        <x:v>1.7872641527576354e+66</x:v>
      </x:c>
      <x:c r="AQ59" s="19" t="n">
        <x:v>177</x:v>
      </x:c>
      <x:c r="AR59" s="19" t="n">
        <x:v>0</x:v>
      </x:c>
      <x:c r="AS59" s="19" t="n">
        <x:v>35</x:v>
      </x:c>
      <x:c r="AT59" s="19" t="n">
        <x:v>35</x:v>
      </x:c>
    </x:row>
    <x:row r="60" ht="25" customHeight="1">
      <x:c r="A60" s="18" t="str">
        <x:v>hourly_balanced</x:v>
      </x:c>
      <x:c r="B60" s="18" t="n">
        <x:v>13</x:v>
      </x:c>
      <x:c r="C60" s="18" t="n">
        <x:v>7</x:v>
      </x:c>
      <x:c r="D60" s="18" t="n">
        <x:v>2213</x:v>
      </x:c>
      <x:c r="E60" s="18" t="n">
        <x:v>2213</x:v>
      </x:c>
      <x:c r="F60" s="18" t="n">
        <x:v>1332</x:v>
      </x:c>
      <x:c r="G60" s="18" t="n">
        <x:v>11919</x:v>
      </x:c>
      <x:c r="H60" s="18" t="n">
        <x:v>129</x:v>
      </x:c>
      <x:c r="I60" s="20" t="n">
        <x:v>100.03062401541683</x:v>
      </x:c>
      <x:c r="J60" s="20" t="n">
        <x:v>11.35</x:v>
      </x:c>
      <x:c r="K60" s="18" t="n">
        <x:v>1585</x:v>
      </x:c>
      <x:c r="L60" s="18" t="n">
        <x:v>1396</x:v>
      </x:c>
      <x:c r="M60" s="18" t="n">
        <x:v>56</x:v>
      </x:c>
      <x:c r="N60" s="18" t="n">
        <x:v>1</x:v>
      </x:c>
      <x:c r="O60" s="22" t="n">
        <x:v>7.092249531187506e+73</x:v>
      </x:c>
      <x:c r="P60" s="22" t="n">
        <x:v>7.09224953108145e+73</x:v>
      </x:c>
      <x:c r="Q60" s="22" t="n">
        <x:v>8.27429111971889e+72</x:v>
      </x:c>
      <x:c r="R60" s="22" t="n">
        <x:v>2.0718824963776102e+74</x:v>
      </x:c>
      <x:c r="S60" s="24" t="n">
        <x:v>0.8</x:v>
      </x:c>
      <x:c r="T60" s="20" t="n">
        <x:v>31.05</x:v>
      </x:c>
      <x:c r="U60" s="22" t="n">
        <x:v>6.5407268860143606e+66</x:v>
      </x:c>
      <x:c r="V60" s="22" t="n">
        <x:v>1.4534519797315105e+67</x:v>
      </x:c>
      <x:c r="W60" s="22" t="n">
        <x:v>1.2766172519697181e+68</x:v>
      </x:c>
      <x:c r="X60" s="22" t="n">
        <x:v>2.0618734858006265e+94</x:v>
      </x:c>
      <x:c r="Y60" s="22" t="n">
        <x:v>4.820200585952241e+92</x:v>
      </x:c>
      <x:c r="Z60" s="22" t="n">
        <x:v>1.1970489114533936e+93</x:v>
      </x:c>
      <x:c r="AA60" s="22" t="n">
        <x:v>2.930406238042251e+91</x:v>
      </x:c>
      <x:c r="AB60" s="22" t="n">
        <x:v>2.1815783769459808e+94</x:v>
      </x:c>
      <x:c r="AC60" s="22" t="n">
        <x:v>5.113241209756539e+92</x:v>
      </x:c>
      <x:c r="AD60" s="18" t="n">
        <x:v>1585</x:v>
      </x:c>
      <x:c r="AE60" s="18" t="n">
        <x:v>1585</x:v>
      </x:c>
      <x:c r="AF60" s="18" t="n">
        <x:v>1574</x:v>
      </x:c>
      <x:c r="AG60" s="18" t="n">
        <x:v>1572</x:v>
      </x:c>
      <x:c r="AH60" s="18" t="n">
        <x:v>1396</x:v>
      </x:c>
      <x:c r="AI60" s="18" t="n">
        <x:v>1396</x:v>
      </x:c>
      <x:c r="AJ60" s="18" t="n">
        <x:v>1385</x:v>
      </x:c>
      <x:c r="AK60" s="18" t="n">
        <x:v>1383</x:v>
      </x:c>
      <x:c r="AL60" s="22" t="n">
        <x:v>4.117071169887757e+75</x:v>
      </x:c>
      <x:c r="AM60" s="22" t="n">
        <x:v>1.8857479668434685e+61</x:v>
      </x:c>
      <x:c r="AN60" s="22" t="n">
        <x:v>4.3631567538921047e+92</x:v>
      </x:c>
      <x:c r="AO60" s="22" t="n">
        <x:v>3.635963961576752e+91</x:v>
      </x:c>
      <x:c r="AP60" s="22" t="n">
        <x:v>1.7872641527576354e+66</x:v>
      </x:c>
      <x:c r="AQ60" s="18" t="n">
        <x:v>173</x:v>
      </x:c>
      <x:c r="AR60" s="18" t="n">
        <x:v>0</x:v>
      </x:c>
      <x:c r="AS60" s="18" t="n">
        <x:v>35</x:v>
      </x:c>
      <x:c r="AT60" s="18" t="n">
        <x:v>35</x:v>
      </x:c>
    </x:row>
    <x:row r="61" ht="25" customHeight="1">
      <x:c r="A61" s="19" t="str">
        <x:v>hourly_balanced</x:v>
      </x:c>
      <x:c r="B61" s="19" t="n">
        <x:v>14</x:v>
      </x:c>
      <x:c r="C61" s="19" t="n">
        <x:v>7</x:v>
      </x:c>
      <x:c r="D61" s="19" t="n">
        <x:v>2215</x:v>
      </x:c>
      <x:c r="E61" s="19" t="n">
        <x:v>2215</x:v>
      </x:c>
      <x:c r="F61" s="19" t="n">
        <x:v>1334</x:v>
      </x:c>
      <x:c r="G61" s="19" t="n">
        <x:v>11941</x:v>
      </x:c>
      <x:c r="H61" s="19" t="n">
        <x:v>132</x:v>
      </x:c>
      <x:c r="I61" s="21" t="n">
        <x:v>94.44158172201423</x:v>
      </x:c>
      <x:c r="J61" s="21" t="n">
        <x:v>9.85</x:v>
      </x:c>
      <x:c r="K61" s="19" t="n">
        <x:v>1587</x:v>
      </x:c>
      <x:c r="L61" s="19" t="n">
        <x:v>1397</x:v>
      </x:c>
      <x:c r="M61" s="19" t="n">
        <x:v>56</x:v>
      </x:c>
      <x:c r="N61" s="19" t="n">
        <x:v>4</x:v>
      </x:c>
      <x:c r="O61" s="23" t="n">
        <x:v>8.458317611654302e+73</x:v>
      </x:c>
      <x:c r="P61" s="23" t="n">
        <x:v>8.45831761163659e+73</x:v>
      </x:c>
      <x:c r="Q61" s="23" t="n">
        <x:v>9.868037213596522e+72</x:v>
      </x:c>
      <x:c r="R61" s="23" t="n">
        <x:v>2.4725354042387767e+74</x:v>
      </x:c>
      <x:c r="S61" s="25" t="n">
        <x:v>0.8</x:v>
      </x:c>
      <x:c r="T61" s="21" t="n">
        <x:v>31.07</x:v>
      </x:c>
      <x:c r="U61" s="23" t="n">
        <x:v>3.6444508222371457e+65</x:v>
      </x:c>
      <x:c r="V61" s="23" t="n">
        <x:v>1.82321016337515e+67</x:v>
      </x:c>
      <x:c r="W61" s="23" t="n">
        <x:v>1.5229862536348427e+68</x:v>
      </x:c>
      <x:c r="X61" s="23" t="n">
        <x:v>2.6423874562365606e+94</x:v>
      </x:c>
      <x:c r="Y61" s="23" t="n">
        <x:v>7.113499760752363e+92</x:v>
      </x:c>
      <x:c r="Z61" s="23" t="n">
        <x:v>1.5570497003461226e+93</x:v>
      </x:c>
      <x:c r="AA61" s="23" t="n">
        <x:v>3.3500063947907044e+91</x:v>
      </x:c>
      <x:c r="AB61" s="23" t="n">
        <x:v>2.7980924262711432e+94</x:v>
      </x:c>
      <x:c r="AC61" s="23" t="n">
        <x:v>7.448500400231485e+92</x:v>
      </x:c>
      <x:c r="AD61" s="19" t="n">
        <x:v>1587</x:v>
      </x:c>
      <x:c r="AE61" s="19" t="n">
        <x:v>1587</x:v>
      </x:c>
      <x:c r="AF61" s="19" t="n">
        <x:v>1576</x:v>
      </x:c>
      <x:c r="AG61" s="19" t="n">
        <x:v>1574</x:v>
      </x:c>
      <x:c r="AH61" s="19" t="n">
        <x:v>1397</x:v>
      </x:c>
      <x:c r="AI61" s="19" t="n">
        <x:v>1397</x:v>
      </x:c>
      <x:c r="AJ61" s="19" t="n">
        <x:v>1386</x:v>
      </x:c>
      <x:c r="AK61" s="19" t="n">
        <x:v>1383</x:v>
      </x:c>
      <x:c r="AL61" s="23" t="n">
        <x:v>4.802151812557093e+75</x:v>
      </x:c>
      <x:c r="AM61" s="23" t="n">
        <x:v>2.138862487692992e+61</x:v>
      </x:c>
      <x:c r="AN61" s="23" t="n">
        <x:v>5.279419672209541e+92</x:v>
      </x:c>
      <x:c r="AO61" s="23" t="n">
        <x:v>4.399516393507948e+91</x:v>
      </x:c>
      <x:c r="AP61" s="23" t="n">
        <x:v>2.046238728492167e+66</x:v>
      </x:c>
      <x:c r="AQ61" s="19" t="n">
        <x:v>177</x:v>
      </x:c>
      <x:c r="AR61" s="19" t="n">
        <x:v>0</x:v>
      </x:c>
      <x:c r="AS61" s="19" t="n">
        <x:v>35</x:v>
      </x:c>
      <x:c r="AT61" s="19" t="n">
        <x:v>35</x:v>
      </x:c>
    </x:row>
    <x:row r="62" ht="25" customHeight="1">
      <x:c r="A62" s="18" t="str">
        <x:v>hourly_balanced</x:v>
      </x:c>
      <x:c r="B62" s="18" t="n">
        <x:v>15</x:v>
      </x:c>
      <x:c r="C62" s="18" t="n">
        <x:v>7</x:v>
      </x:c>
      <x:c r="D62" s="18" t="n">
        <x:v>2217</x:v>
      </x:c>
      <x:c r="E62" s="18" t="n">
        <x:v>2217</x:v>
      </x:c>
      <x:c r="F62" s="18" t="n">
        <x:v>1335</x:v>
      </x:c>
      <x:c r="G62" s="18" t="n">
        <x:v>11952</x:v>
      </x:c>
      <x:c r="H62" s="18" t="n">
        <x:v>131</x:v>
      </x:c>
      <x:c r="I62" s="20" t="n">
        <x:v>97.47124648898898</x:v>
      </x:c>
      <x:c r="J62" s="20" t="n">
        <x:v>9.85</x:v>
      </x:c>
      <x:c r="K62" s="18" t="n">
        <x:v>1588</x:v>
      </x:c>
      <x:c r="L62" s="18" t="n">
        <x:v>1398</x:v>
      </x:c>
      <x:c r="M62" s="18" t="n">
        <x:v>56</x:v>
      </x:c>
      <x:c r="N62" s="18" t="n">
        <x:v>3</x:v>
      </x:c>
      <x:c r="O62" s="22" t="n">
        <x:v>9.465174594351563e+73</x:v>
      </x:c>
      <x:c r="P62" s="22" t="n">
        <x:v>9.465174594351563e+73</x:v>
      </x:c>
      <x:c r="Q62" s="22" t="n">
        <x:v>1.1042703693409973e+73</x:v>
      </x:c>
      <x:c r="R62" s="22" t="n">
        <x:v>2.7686266700117625e+74</x:v>
      </x:c>
      <x:c r="S62" s="24" t="n">
        <x:v>0.8</x:v>
      </x:c>
      <x:c r="T62" s="20" t="n">
        <x:v>31.09</x:v>
      </x:c>
      <x:c r="U62" s="22" t="n">
        <x:v>1.857675543392087e+66</x:v>
      </x:c>
      <x:c r="V62" s="22" t="n">
        <x:v>2.041995382980203e+67</x:v>
      </x:c>
      <x:c r="W62" s="22" t="n">
        <x:v>1.7202395745840785e+68</x:v>
      </x:c>
      <x:c r="X62" s="22" t="n">
        <x:v>3.1442293394298083e+94</x:v>
      </x:c>
      <x:c r="Y62" s="22" t="n">
        <x:v>5.0722809242770824e+92</x:v>
      </x:c>
      <x:c r="Z62" s="22" t="n">
        <x:v>1.775815183244728e+93</x:v>
      </x:c>
      <x:c r="AA62" s="22" t="n">
        <x:v>3.8876824211545066e+91</x:v>
      </x:c>
      <x:c r="AB62" s="22" t="n">
        <x:v>3.3218108577542775e+94</x:v>
      </x:c>
      <x:c r="AC62" s="22" t="n">
        <x:v>5.461049166392522e+92</x:v>
      </x:c>
      <x:c r="AD62" s="18" t="n">
        <x:v>1588</x:v>
      </x:c>
      <x:c r="AE62" s="18" t="n">
        <x:v>1588</x:v>
      </x:c>
      <x:c r="AF62" s="18" t="n">
        <x:v>1577</x:v>
      </x:c>
      <x:c r="AG62" s="18" t="n">
        <x:v>1575</x:v>
      </x:c>
      <x:c r="AH62" s="18" t="n">
        <x:v>1398</x:v>
      </x:c>
      <x:c r="AI62" s="18" t="n">
        <x:v>1398</x:v>
      </x:c>
      <x:c r="AJ62" s="18" t="n">
        <x:v>1387</x:v>
      </x:c>
      <x:c r="AK62" s="18" t="n">
        <x:v>1384</x:v>
      </x:c>
      <x:c r="AL62" s="22" t="n">
        <x:v>5.601229874166609e+75</x:v>
      </x:c>
      <x:c r="AM62" s="22" t="n">
        <x:v>2.4259513051036168e+61</x:v>
      </x:c>
      <x:c r="AN62" s="22" t="n">
        <x:v>6.388097803373659e+92</x:v>
      </x:c>
      <x:c r="AO62" s="22" t="n">
        <x:v>5.323414836144712e+91</x:v>
      </x:c>
      <x:c r="AP62" s="22" t="n">
        <x:v>2.3427387202507024e+66</x:v>
      </x:c>
      <x:c r="AQ62" s="18" t="n">
        <x:v>176</x:v>
      </x:c>
      <x:c r="AR62" s="18" t="n">
        <x:v>0</x:v>
      </x:c>
      <x:c r="AS62" s="18" t="n">
        <x:v>35</x:v>
      </x:c>
      <x:c r="AT62" s="18" t="n">
        <x:v>35</x:v>
      </x:c>
    </x:row>
    <x:row r="63" ht="25" customHeight="1">
      <x:c r="A63" s="19" t="str">
        <x:v>hourly_balanced</x:v>
      </x:c>
      <x:c r="B63" s="19" t="n">
        <x:v>16</x:v>
      </x:c>
      <x:c r="C63" s="19" t="n">
        <x:v>7</x:v>
      </x:c>
      <x:c r="D63" s="19" t="n">
        <x:v>2213</x:v>
      </x:c>
      <x:c r="E63" s="19" t="n">
        <x:v>2213</x:v>
      </x:c>
      <x:c r="F63" s="19" t="n">
        <x:v>1332</x:v>
      </x:c>
      <x:c r="G63" s="19" t="n">
        <x:v>11949</x:v>
      </x:c>
      <x:c r="H63" s="19" t="n">
        <x:v>130</x:v>
      </x:c>
      <x:c r="I63" s="21" t="n">
        <x:v>102.77934889280004</x:v>
      </x:c>
      <x:c r="J63" s="21" t="n">
        <x:v>10.85</x:v>
      </x:c>
      <x:c r="K63" s="19" t="n">
        <x:v>1585</x:v>
      </x:c>
      <x:c r="L63" s="19" t="n">
        <x:v>1394</x:v>
      </x:c>
      <x:c r="M63" s="19" t="n">
        <x:v>56</x:v>
      </x:c>
      <x:c r="N63" s="19" t="n">
        <x:v>3</x:v>
      </x:c>
      <x:c r="O63" s="23" t="n">
        <x:v>6.432879393367557e+73</x:v>
      </x:c>
      <x:c r="P63" s="23" t="n">
        <x:v>6.432879393211791e+73</x:v>
      </x:c>
      <x:c r="Q63" s="23" t="n">
        <x:v>7.505025958928692e+72</x:v>
      </x:c>
      <x:c r="R63" s="23" t="n">
        <x:v>1.878057695962296e+74</x:v>
      </x:c>
      <x:c r="S63" s="25" t="n">
        <x:v>0.8</x:v>
      </x:c>
      <x:c r="T63" s="21" t="n">
        <x:v>31.03</x:v>
      </x:c>
      <x:c r="U63" s="23" t="n">
        <x:v>1.0115255191529562e+67</x:v>
      </x:c>
      <x:c r="V63" s="23" t="n">
        <x:v>1.4534519797315105e+67</x:v>
      </x:c>
      <x:c r="W63" s="23" t="n">
        <x:v>1.3123625350248856e+68</x:v>
      </x:c>
      <x:c r="X63" s="23" t="n">
        <x:v>2.1491366208785774e+94</x:v>
      </x:c>
      <x:c r="Y63" s="23" t="n">
        <x:v>5.864912996808464e+92</x:v>
      </x:c>
      <x:c r="Z63" s="23" t="n">
        <x:v>1.1970489114533936e+93</x:v>
      </x:c>
      <x:c r="AA63" s="23" t="n">
        <x:v>2.2266230722194593e+91</x:v>
      </x:c>
      <x:c r="AB63" s="23" t="n">
        <x:v>2.2688415120239517e+94</x:v>
      </x:c>
      <x:c r="AC63" s="23" t="n">
        <x:v>6.087575304030459e+92</x:v>
      </x:c>
      <x:c r="AD63" s="19" t="n">
        <x:v>1585</x:v>
      </x:c>
      <x:c r="AE63" s="19" t="n">
        <x:v>1585</x:v>
      </x:c>
      <x:c r="AF63" s="19" t="n">
        <x:v>1574</x:v>
      </x:c>
      <x:c r="AG63" s="19" t="n">
        <x:v>1572</x:v>
      </x:c>
      <x:c r="AH63" s="19" t="n">
        <x:v>1394</x:v>
      </x:c>
      <x:c r="AI63" s="19" t="n">
        <x:v>1394</x:v>
      </x:c>
      <x:c r="AJ63" s="19" t="n">
        <x:v>1384</x:v>
      </x:c>
      <x:c r="AK63" s="19" t="n">
        <x:v>1381</x:v>
      </x:c>
      <x:c r="AL63" s="23" t="n">
        <x:v>4.117071169887757e+75</x:v>
      </x:c>
      <x:c r="AM63" s="23" t="n">
        <x:v>1.8857479668434685e+61</x:v>
      </x:c>
      <x:c r="AN63" s="23" t="n">
        <x:v>4.3631567538921047e+92</x:v>
      </x:c>
      <x:c r="AO63" s="23" t="n">
        <x:v>3.635963961576752e+91</x:v>
      </x:c>
      <x:c r="AP63" s="23" t="n">
        <x:v>1.7872641527576354e+66</x:v>
      </x:c>
      <x:c r="AQ63" s="19" t="n">
        <x:v>173</x:v>
      </x:c>
      <x:c r="AR63" s="19" t="n">
        <x:v>0</x:v>
      </x:c>
      <x:c r="AS63" s="19" t="n">
        <x:v>35</x:v>
      </x:c>
      <x:c r="AT63" s="19" t="n">
        <x:v>35</x:v>
      </x:c>
    </x:row>
    <x:row r="64" ht="25" customHeight="1">
      <x:c r="A64" s="18" t="str">
        <x:v>hourly_balanced</x:v>
      </x:c>
      <x:c r="B64" s="18" t="n">
        <x:v>17</x:v>
      </x:c>
      <x:c r="C64" s="18" t="n">
        <x:v>7</x:v>
      </x:c>
      <x:c r="D64" s="18" t="n">
        <x:v>2217</x:v>
      </x:c>
      <x:c r="E64" s="18" t="n">
        <x:v>2217</x:v>
      </x:c>
      <x:c r="F64" s="18" t="n">
        <x:v>1334</x:v>
      </x:c>
      <x:c r="G64" s="18" t="n">
        <x:v>11938</x:v>
      </x:c>
      <x:c r="H64" s="18" t="n">
        <x:v>131</x:v>
      </x:c>
      <x:c r="I64" s="20" t="n">
        <x:v>98.32136690877087</x:v>
      </x:c>
      <x:c r="J64" s="20" t="n">
        <x:v>10.35</x:v>
      </x:c>
      <x:c r="K64" s="18" t="n">
        <x:v>1588</x:v>
      </x:c>
      <x:c r="L64" s="18" t="n">
        <x:v>1398</x:v>
      </x:c>
      <x:c r="M64" s="18" t="n">
        <x:v>56</x:v>
      </x:c>
      <x:c r="N64" s="18" t="n">
        <x:v>1</x:v>
      </x:c>
      <x:c r="O64" s="22" t="n">
        <x:v>9.325295166848877e+73</x:v>
      </x:c>
      <x:c r="P64" s="22" t="n">
        <x:v>9.325295166620328e+73</x:v>
      </x:c>
      <x:c r="Q64" s="22" t="n">
        <x:v>1.0879511027990176e+73</x:v>
      </x:c>
      <x:c r="R64" s="22" t="n">
        <x:v>2.727711004937711e+74</x:v>
      </x:c>
      <x:c r="S64" s="24" t="n">
        <x:v>0.8</x:v>
      </x:c>
      <x:c r="T64" s="20" t="n">
        <x:v>31.09</x:v>
      </x:c>
      <x:c r="U64" s="22" t="n">
        <x:v>1.540429973664179e+67</x:v>
      </x:c>
      <x:c r="V64" s="22" t="n">
        <x:v>1.82321016337515e+67</x:v>
      </x:c>
      <x:c r="W64" s="22" t="n">
        <x:v>1.673384800179045e+68</x:v>
      </x:c>
      <x:c r="X64" s="22" t="n">
        <x:v>3.0164673833622788e+94</x:v>
      </x:c>
      <x:c r="Y64" s="22" t="n">
        <x:v>5.228030783282043e+92</x:v>
      </x:c>
      <x:c r="Z64" s="22" t="n">
        <x:v>1.775815183244728e+93</x:v>
      </x:c>
      <x:c r="AA64" s="22" t="n">
        <x:v>3.8876824211545066e+91</x:v>
      </x:c>
      <x:c r="AB64" s="22" t="n">
        <x:v>3.1940489016867243e+94</x:v>
      </x:c>
      <x:c r="AC64" s="22" t="n">
        <x:v>5.616799025397401e+92</x:v>
      </x:c>
      <x:c r="AD64" s="18" t="n">
        <x:v>1588</x:v>
      </x:c>
      <x:c r="AE64" s="18" t="n">
        <x:v>1588</x:v>
      </x:c>
      <x:c r="AF64" s="18" t="n">
        <x:v>1577</x:v>
      </x:c>
      <x:c r="AG64" s="18" t="n">
        <x:v>1575</x:v>
      </x:c>
      <x:c r="AH64" s="18" t="n">
        <x:v>1398</x:v>
      </x:c>
      <x:c r="AI64" s="18" t="n">
        <x:v>1398</x:v>
      </x:c>
      <x:c r="AJ64" s="18" t="n">
        <x:v>1387</x:v>
      </x:c>
      <x:c r="AK64" s="18" t="n">
        <x:v>1384</x:v>
      </x:c>
      <x:c r="AL64" s="22" t="n">
        <x:v>5.601229874166609e+75</x:v>
      </x:c>
      <x:c r="AM64" s="22" t="n">
        <x:v>2.4259513051036168e+61</x:v>
      </x:c>
      <x:c r="AN64" s="22" t="n">
        <x:v>6.388097803373659e+92</x:v>
      </x:c>
      <x:c r="AO64" s="22" t="n">
        <x:v>5.323414836144712e+91</x:v>
      </x:c>
      <x:c r="AP64" s="22" t="n">
        <x:v>2.3427387202507024e+66</x:v>
      </x:c>
      <x:c r="AQ64" s="18" t="n">
        <x:v>176</x:v>
      </x:c>
      <x:c r="AR64" s="18" t="n">
        <x:v>0</x:v>
      </x:c>
      <x:c r="AS64" s="18" t="n">
        <x:v>36</x:v>
      </x:c>
      <x:c r="AT64" s="18" t="n">
        <x:v>36</x:v>
      </x:c>
    </x:row>
    <x:row r="65" ht="25" customHeight="1">
      <x:c r="A65" s="19" t="str">
        <x:v>hourly_balanced</x:v>
      </x:c>
      <x:c r="B65" s="19" t="n">
        <x:v>18</x:v>
      </x:c>
      <x:c r="C65" s="19" t="n">
        <x:v>7</x:v>
      </x:c>
      <x:c r="D65" s="19" t="n">
        <x:v>2215</x:v>
      </x:c>
      <x:c r="E65" s="19" t="n">
        <x:v>2215</x:v>
      </x:c>
      <x:c r="F65" s="19" t="n">
        <x:v>1334</x:v>
      </x:c>
      <x:c r="G65" s="19" t="n">
        <x:v>11974</x:v>
      </x:c>
      <x:c r="H65" s="19" t="n">
        <x:v>132</x:v>
      </x:c>
      <x:c r="I65" s="21" t="n">
        <x:v>96.74735768021492</x:v>
      </x:c>
      <x:c r="J65" s="21" t="n">
        <x:v>9.35</x:v>
      </x:c>
      <x:c r="K65" s="19" t="n">
        <x:v>1586</x:v>
      </x:c>
      <x:c r="L65" s="19" t="n">
        <x:v>1397</x:v>
      </x:c>
      <x:c r="M65" s="19" t="n">
        <x:v>56</x:v>
      </x:c>
      <x:c r="N65" s="19" t="n">
        <x:v>4</x:v>
      </x:c>
      <x:c r="O65" s="23" t="n">
        <x:v>8.055540582527772e+73</x:v>
      </x:c>
      <x:c r="P65" s="23" t="n">
        <x:v>8.055540582517229e+73</x:v>
      </x:c>
      <x:c r="Q65" s="23" t="n">
        <x:v>9.398130679615885e+72</x:v>
      </x:c>
      <x:c r="R65" s="23" t="n">
        <x:v>2.354795623084587e+74</x:v>
      </x:c>
      <x:c r="S65" s="25" t="n">
        <x:v>0.8</x:v>
      </x:c>
      <x:c r="T65" s="21" t="n">
        <x:v>31.07</x:v>
      </x:c>
      <x:c r="U65" s="23" t="n">
        <x:v>3.6444508222371457e+65</x:v>
      </x:c>
      <x:c r="V65" s="23" t="n">
        <x:v>1.82321016337515e+67</x:v>
      </x:c>
      <x:c r="W65" s="23" t="n">
        <x:v>1.5229862536348427e+68</x:v>
      </x:c>
      <x:c r="X65" s="23" t="n">
        <x:v>2.6615689979197427e+94</x:v>
      </x:c>
      <x:c r="Y65" s="23" t="n">
        <x:v>5.792823697077013e+92</x:v>
      </x:c>
      <x:c r="Z65" s="23" t="n">
        <x:v>1.3652342835125764e+93</x:v>
      </x:c>
      <x:c r="AA65" s="23" t="n">
        <x:v>3.4800232003844925e+91</x:v>
      </x:c>
      <x:c r="AB65" s="23" t="n">
        <x:v>2.7980924262709602e+94</x:v>
      </x:c>
      <x:c r="AC65" s="23" t="n">
        <x:v>6.140826017115527e+92</x:v>
      </x:c>
      <x:c r="AD65" s="19" t="n">
        <x:v>1586</x:v>
      </x:c>
      <x:c r="AE65" s="19" t="n">
        <x:v>1586</x:v>
      </x:c>
      <x:c r="AF65" s="19" t="n">
        <x:v>1575</x:v>
      </x:c>
      <x:c r="AG65" s="19" t="n">
        <x:v>1573</x:v>
      </x:c>
      <x:c r="AH65" s="19" t="n">
        <x:v>1397</x:v>
      </x:c>
      <x:c r="AI65" s="19" t="n">
        <x:v>1397</x:v>
      </x:c>
      <x:c r="AJ65" s="19" t="n">
        <x:v>1387</x:v>
      </x:c>
      <x:c r="AK65" s="19" t="n">
        <x:v>1384</x:v>
      </x:c>
      <x:c r="AL65" s="23" t="n">
        <x:v>4.802151812557093e+75</x:v>
      </x:c>
      <x:c r="AM65" s="23" t="n">
        <x:v>2.138862487692992e+61</x:v>
      </x:c>
      <x:c r="AN65" s="23" t="n">
        <x:v>5.279419672209541e+92</x:v>
      </x:c>
      <x:c r="AO65" s="23" t="n">
        <x:v>4.399516393507948e+91</x:v>
      </x:c>
      <x:c r="AP65" s="23" t="n">
        <x:v>2.046238728492167e+66</x:v>
      </x:c>
      <x:c r="AQ65" s="19" t="n">
        <x:v>176</x:v>
      </x:c>
      <x:c r="AR65" s="19" t="n">
        <x:v>0</x:v>
      </x:c>
      <x:c r="AS65" s="19" t="n">
        <x:v>35</x:v>
      </x:c>
      <x:c r="AT65" s="19" t="n">
        <x:v>35</x:v>
      </x:c>
    </x:row>
    <x:row r="66" ht="25" customHeight="1">
      <x:c r="A66" s="18" t="str">
        <x:v>hourly_balanced</x:v>
      </x:c>
      <x:c r="B66" s="18" t="n">
        <x:v>19</x:v>
      </x:c>
      <x:c r="C66" s="18" t="n">
        <x:v>7</x:v>
      </x:c>
      <x:c r="D66" s="18" t="n">
        <x:v>2215</x:v>
      </x:c>
      <x:c r="E66" s="18" t="n">
        <x:v>2215</x:v>
      </x:c>
      <x:c r="F66" s="18" t="n">
        <x:v>1333</x:v>
      </x:c>
      <x:c r="G66" s="18" t="n">
        <x:v>11953</x:v>
      </x:c>
      <x:c r="H66" s="18" t="n">
        <x:v>135</x:v>
      </x:c>
      <x:c r="I66" s="20" t="n">
        <x:v>98.08098490543489</x:v>
      </x:c>
      <x:c r="J66" s="20" t="n">
        <x:v>11.35</x:v>
      </x:c>
      <x:c r="K66" s="18" t="n">
        <x:v>1587</x:v>
      </x:c>
      <x:c r="L66" s="18" t="n">
        <x:v>1397</x:v>
      </x:c>
      <x:c r="M66" s="18" t="n">
        <x:v>56</x:v>
      </x:c>
      <x:c r="N66" s="18" t="n">
        <x:v>3</x:v>
      </x:c>
      <x:c r="O66" s="22" t="n">
        <x:v>8.333317843994429e+73</x:v>
      </x:c>
      <x:c r="P66" s="22" t="n">
        <x:v>8.333317843784738e+73</x:v>
      </x:c>
      <x:c r="Q66" s="22" t="n">
        <x:v>9.722204151326673e+72</x:v>
      </x:c>
      <x:c r="R66" s="22" t="n">
        <x:v>2.435995472156443e+74</x:v>
      </x:c>
      <x:c r="S66" s="24" t="n">
        <x:v>0.8</x:v>
      </x:c>
      <x:c r="T66" s="20" t="n">
        <x:v>31.07</x:v>
      </x:c>
      <x:c r="U66" s="22" t="n">
        <x:v>1.4596868526724336e+67</x:v>
      </x:c>
      <x:c r="V66" s="22" t="n">
        <x:v>1.6278662172992664e+67</x:v>
      </x:c>
      <x:c r="W66" s="22" t="n">
        <x:v>1.5025238663499553e+68</x:v>
      </x:c>
      <x:c r="X66" s="22" t="n">
        <x:v>2.5895932595144913e+94</x:v>
      </x:c>
      <x:c r="Y66" s="22" t="n">
        <x:v>5.716262747499658e+92</x:v>
      </x:c>
      <x:c r="Z66" s="22" t="n">
        <x:v>1.5570497003461226e+93</x:v>
      </x:c>
      <x:c r="AA66" s="22" t="n">
        <x:v>3.3500063947907044e+91</x:v>
      </x:c>
      <x:c r="AB66" s="22" t="n">
        <x:v>2.7452982295491203e+94</x:v>
      </x:c>
      <x:c r="AC66" s="22" t="n">
        <x:v>6.051263386978703e+92</x:v>
      </x:c>
      <x:c r="AD66" s="18" t="n">
        <x:v>1587</x:v>
      </x:c>
      <x:c r="AE66" s="18" t="n">
        <x:v>1587</x:v>
      </x:c>
      <x:c r="AF66" s="18" t="n">
        <x:v>1576</x:v>
      </x:c>
      <x:c r="AG66" s="18" t="n">
        <x:v>1574</x:v>
      </x:c>
      <x:c r="AH66" s="18" t="n">
        <x:v>1397</x:v>
      </x:c>
      <x:c r="AI66" s="18" t="n">
        <x:v>1397</x:v>
      </x:c>
      <x:c r="AJ66" s="18" t="n">
        <x:v>1386</x:v>
      </x:c>
      <x:c r="AK66" s="18" t="n">
        <x:v>1383</x:v>
      </x:c>
      <x:c r="AL66" s="22" t="n">
        <x:v>4.802151812557093e+75</x:v>
      </x:c>
      <x:c r="AM66" s="22" t="n">
        <x:v>2.138862487692992e+61</x:v>
      </x:c>
      <x:c r="AN66" s="22" t="n">
        <x:v>5.279419672209541e+92</x:v>
      </x:c>
      <x:c r="AO66" s="22" t="n">
        <x:v>4.399516393507948e+91</x:v>
      </x:c>
      <x:c r="AP66" s="22" t="n">
        <x:v>2.046238728492167e+66</x:v>
      </x:c>
      <x:c r="AQ66" s="18" t="n">
        <x:v>175</x:v>
      </x:c>
      <x:c r="AR66" s="18" t="n">
        <x:v>0</x:v>
      </x:c>
      <x:c r="AS66" s="18" t="n">
        <x:v>35</x:v>
      </x:c>
      <x:c r="AT66" s="18" t="n">
        <x:v>35</x:v>
      </x:c>
    </x:row>
    <x:row r="67" ht="25" customHeight="1">
      <x:c r="A67" s="19" t="str">
        <x:v>hourly_balanced</x:v>
      </x:c>
      <x:c r="B67" s="19" t="n">
        <x:v>20</x:v>
      </x:c>
      <x:c r="C67" s="19" t="n">
        <x:v>7</x:v>
      </x:c>
      <x:c r="D67" s="19" t="n">
        <x:v>2217</x:v>
      </x:c>
      <x:c r="E67" s="19" t="n">
        <x:v>2217</x:v>
      </x:c>
      <x:c r="F67" s="19" t="n">
        <x:v>1334</x:v>
      </x:c>
      <x:c r="G67" s="19" t="n">
        <x:v>11971</x:v>
      </x:c>
      <x:c r="H67" s="19" t="n">
        <x:v>132</x:v>
      </x:c>
      <x:c r="I67" s="21" t="n">
        <x:v>98.73004151246278</x:v>
      </x:c>
      <x:c r="J67" s="21" t="n">
        <x:v>9.35</x:v>
      </x:c>
      <x:c r="K67" s="19" t="n">
        <x:v>1587</x:v>
      </x:c>
      <x:c r="L67" s="19" t="n">
        <x:v>1399</x:v>
      </x:c>
      <x:c r="M67" s="19" t="n">
        <x:v>56</x:v>
      </x:c>
      <x:c r="N67" s="19" t="n">
        <x:v>2</x:v>
      </x:c>
      <x:c r="O67" s="23" t="n">
        <x:v>9.325295166848877e+73</x:v>
      </x:c>
      <x:c r="P67" s="23" t="n">
        <x:v>9.325295166578218e+73</x:v>
      </x:c>
      <x:c r="Q67" s="23" t="n">
        <x:v>1.0879511027990176e+73</x:v>
      </x:c>
      <x:c r="R67" s="23" t="n">
        <x:v>2.727711004937711e+74</x:v>
      </x:c>
      <x:c r="S67" s="25" t="n">
        <x:v>0.8</x:v>
      </x:c>
      <x:c r="T67" s="21" t="n">
        <x:v>31.09</x:v>
      </x:c>
      <x:c r="U67" s="23" t="n">
        <x:v>1.774703845689259e+67</x:v>
      </x:c>
      <x:c r="V67" s="23" t="n">
        <x:v>1.82321016337515e+67</x:v>
      </x:c>
      <x:c r="W67" s="23" t="n">
        <x:v>1.696812187381526e+68</x:v>
      </x:c>
      <x:c r="X67" s="23" t="n">
        <x:v>3.1022249096861287e+94</x:v>
      </x:c>
      <x:c r="Y67" s="23" t="n">
        <x:v>8.090860654830421e+92</x:v>
      </x:c>
      <x:c r="Z67" s="23" t="n">
        <x:v>1.5570497003461226e+93</x:v>
      </x:c>
      <x:c r="AA67" s="23" t="n">
        <x:v>4.51165544974983e+91</x:v>
      </x:c>
      <x:c r="AB67" s="23" t="n">
        <x:v>3.2579298797207417e+94</x:v>
      </x:c>
      <x:c r="AC67" s="23" t="n">
        <x:v>8.542026199805411e+92</x:v>
      </x:c>
      <x:c r="AD67" s="19" t="n">
        <x:v>1587</x:v>
      </x:c>
      <x:c r="AE67" s="19" t="n">
        <x:v>1587</x:v>
      </x:c>
      <x:c r="AF67" s="19" t="n">
        <x:v>1576</x:v>
      </x:c>
      <x:c r="AG67" s="19" t="n">
        <x:v>1574</x:v>
      </x:c>
      <x:c r="AH67" s="19" t="n">
        <x:v>1399</x:v>
      </x:c>
      <x:c r="AI67" s="19" t="n">
        <x:v>1399</x:v>
      </x:c>
      <x:c r="AJ67" s="19" t="n">
        <x:v>1388</x:v>
      </x:c>
      <x:c r="AK67" s="19" t="n">
        <x:v>1385</x:v>
      </x:c>
      <x:c r="AL67" s="23" t="n">
        <x:v>5.601229874166609e+75</x:v>
      </x:c>
      <x:c r="AM67" s="23" t="n">
        <x:v>2.4259513051036168e+61</x:v>
      </x:c>
      <x:c r="AN67" s="23" t="n">
        <x:v>6.388097803373659e+92</x:v>
      </x:c>
      <x:c r="AO67" s="23" t="n">
        <x:v>5.323414836144712e+91</x:v>
      </x:c>
      <x:c r="AP67" s="23" t="n">
        <x:v>2.3427387202507024e+66</x:v>
      </x:c>
      <x:c r="AQ67" s="19" t="n">
        <x:v>179</x:v>
      </x:c>
      <x:c r="AR67" s="19" t="n">
        <x:v>0</x:v>
      </x:c>
      <x:c r="AS67" s="19" t="n">
        <x:v>36</x:v>
      </x:c>
      <x:c r="AT67" s="19" t="n">
        <x:v>36</x:v>
      </x:c>
    </x:row>
    <x:row r="68" ht="25" customHeight="1">
      <x:c r="A68" s="18" t="str">
        <x:v>hourly_balanced</x:v>
      </x:c>
      <x:c r="B68" s="18" t="n">
        <x:v>1</x:v>
      </x:c>
      <x:c r="C68" s="18" t="n">
        <x:v>30</x:v>
      </x:c>
      <x:c r="D68" s="18" t="n">
        <x:v>5085</x:v>
      </x:c>
      <x:c r="E68" s="18" t="n">
        <x:v>5085</x:v>
      </x:c>
      <x:c r="F68" s="18" t="n">
        <x:v>3047</x:v>
      </x:c>
      <x:c r="G68" s="18" t="n">
        <x:v>26317</x:v>
      </x:c>
      <x:c r="H68" s="18" t="n">
        <x:v>132</x:v>
      </x:c>
      <x:c r="I68" s="20" t="n">
        <x:v>565.5626074542524</x:v>
      </x:c>
      <x:c r="J68" s="20" t="n">
        <x:v>99.35</x:v>
      </x:c>
      <x:c r="K68" s="18" t="n">
        <x:v>3686</x:v>
      </x:c>
      <x:c r="L68" s="18" t="n">
        <x:v>3251</x:v>
      </x:c>
      <x:c r="M68" s="18" t="n">
        <x:v>240</x:v>
      </x:c>
      <x:c r="N68" s="18" t="n">
        <x:v>1</x:v>
      </x:c>
      <x:c r="O68" s="22" t="n">
        <x:v>5.8198740411592154e+168</x:v>
      </x:c>
      <x:c r="P68" s="22" t="n">
        <x:v>5.8198740411592154e+168</x:v>
      </x:c>
      <x:c r="Q68" s="22" t="n">
        <x:v>6.789853048018971e+167</x:v>
      </x:c>
      <x:c r="R68" s="22" t="n">
        <x:v>3.847945519373288e+169</x:v>
      </x:c>
      <x:c r="S68" s="24" t="n">
        <x:v>0.8</x:v>
      </x:c>
      <x:c r="T68" s="20" t="n">
        <x:v>70.59</x:v>
      </x:c>
      <x:c r="U68" s="22" t="n">
        <x:v>2.9758854335925336e+150</x:v>
      </x:c>
      <x:c r="V68" s="22" t="n">
        <x:v>3.726572434405267e+151</x:v>
      </x:c>
      <x:c r="W68" s="22" t="n">
        <x:v>3.135235883006755e+152</x:v>
      </x:c>
      <x:c r="X68" s="22" t="n">
        <x:v>6.0342962983520744e+212</x:v>
      </x:c>
      <x:c r="Y68" s="22" t="n">
        <x:v>1.6484083217894136e+211</x:v>
      </x:c>
      <x:c r="Z68" s="22" t="n">
        <x:v>1.0506735434037257e+213</x:v>
      </x:c>
      <x:c r="AA68" s="22" t="n">
        <x:v>2.3831099520390233e+211</x:v>
      </x:c>
      <x:c r="AB68" s="22" t="n">
        <x:v>1.6541031732388874e+213</x:v>
      </x:c>
      <x:c r="AC68" s="22" t="n">
        <x:v>4.031518273828552e+211</x:v>
      </x:c>
      <x:c r="AD68" s="18" t="n">
        <x:v>3686</x:v>
      </x:c>
      <x:c r="AE68" s="18" t="n">
        <x:v>3686</x:v>
      </x:c>
      <x:c r="AF68" s="18" t="n">
        <x:v>3674</x:v>
      </x:c>
      <x:c r="AG68" s="18" t="n">
        <x:v>3672</x:v>
      </x:c>
      <x:c r="AH68" s="18" t="n">
        <x:v>3251</x:v>
      </x:c>
      <x:c r="AI68" s="18" t="n">
        <x:v>3251</x:v>
      </x:c>
      <x:c r="AJ68" s="18" t="n">
        <x:v>3240</x:v>
      </x:c>
      <x:c r="AK68" s="18" t="n">
        <x:v>3237</x:v>
      </x:c>
      <x:c r="AL68" s="22" t="n">
        <x:v>4.051484045565477e+171</x:v>
      </x:c>
      <x:c r="AM68" s="22" t="n">
        <x:v>6.661272148196292e+139</x:v>
      </x:c>
      <x:c r="AN68" s="22" t="n">
        <x:v>3.3082063464777755e+211</x:v>
      </x:c>
      <x:c r="AO68" s="22" t="n">
        <x:v>2.7568386220648113e+210</x:v>
      </x:c>
      <x:c r="AP68" s="22" t="n">
        <x:v>4.389330236209674e+150</x:v>
      </x:c>
      <x:c r="AQ68" s="18" t="n">
        <x:v>33</x:v>
      </x:c>
      <x:c r="AR68" s="18" t="n">
        <x:v>0</x:v>
      </x:c>
      <x:c r="AS68" s="18" t="n">
        <x:v>7</x:v>
      </x:c>
      <x:c r="AT68" s="18" t="n">
        <x:v>7</x:v>
      </x:c>
    </x:row>
    <x:row r="69" ht="25" customHeight="1">
      <x:c r="A69" s="19" t="str">
        <x:v>hourly_balanced</x:v>
      </x:c>
      <x:c r="B69" s="19" t="n">
        <x:v>2</x:v>
      </x:c>
      <x:c r="C69" s="19" t="n">
        <x:v>30</x:v>
      </x:c>
      <x:c r="D69" s="19" t="n">
        <x:v>5092</x:v>
      </x:c>
      <x:c r="E69" s="19" t="n">
        <x:v>5092</x:v>
      </x:c>
      <x:c r="F69" s="19" t="n">
        <x:v>3051</x:v>
      </x:c>
      <x:c r="G69" s="19" t="n">
        <x:v>26328</x:v>
      </x:c>
      <x:c r="H69" s="19" t="n">
        <x:v>133</x:v>
      </x:c>
      <x:c r="I69" s="21" t="n">
        <x:v>554.7347158635384</x:v>
      </x:c>
      <x:c r="J69" s="21" t="n">
        <x:v>100.35</x:v>
      </x:c>
      <x:c r="K69" s="19" t="n">
        <x:v>3692</x:v>
      </x:c>
      <x:c r="L69" s="19" t="n">
        <x:v>3256</x:v>
      </x:c>
      <x:c r="M69" s="19" t="n">
        <x:v>240</x:v>
      </x:c>
      <x:c r="N69" s="19" t="n">
        <x:v>4</x:v>
      </x:c>
      <x:c r="O69" s="23" t="n">
        <x:v>1.056476993766377e+169</x:v>
      </x:c>
      <x:c r="P69" s="23" t="n">
        <x:v>1.056476993766377e+169</x:v>
      </x:c>
      <x:c r="Q69" s="23" t="n">
        <x:v>1.2325564927274193e+168</x:v>
      </x:c>
      <x:c r="R69" s="23" t="n">
        <x:v>6.996976697915024e+169</x:v>
      </x:c>
      <x:c r="S69" s="25" t="n">
        <x:v>0.8</x:v>
      </x:c>
      <x:c r="T69" s="21" t="n">
        <x:v>70.71000000000001</x:v>
      </x:c>
      <x:c r="U69" s="23" t="n">
        <x:v>3.594246342975026e+151</x:v>
      </x:c>
      <x:c r="V69" s="23" t="n">
        <x:v>5.863833871978652e+151</x:v>
      </x:c>
      <x:c r="W69" s="23" t="n">
        <x:v>5.2459528609462255e+152</x:v>
      </x:c>
      <x:c r="X69" s="23" t="n">
        <x:v>1.0295912087899552e+213</x:v>
      </x:c>
      <x:c r="Y69" s="23" t="n">
        <x:v>2.3669836538929645e+211</x:v>
      </x:c>
      <x:c r="Z69" s="23" t="n">
        <x:v>2.387190678396561e+213</x:v>
      </x:c>
      <x:c r="AA69" s="23" t="n">
        <x:v>5.016141792080998e+211</x:v>
      </x:c>
      <x:c r="AB69" s="23" t="n">
        <x:v>3.4167818871864946e+213</x:v>
      </x:c>
      <x:c r="AC69" s="23" t="n">
        <x:v>7.383125445974087e+211</x:v>
      </x:c>
      <x:c r="AD69" s="19" t="n">
        <x:v>3692</x:v>
      </x:c>
      <x:c r="AE69" s="19" t="n">
        <x:v>3692</x:v>
      </x:c>
      <x:c r="AF69" s="19" t="n">
        <x:v>3681</x:v>
      </x:c>
      <x:c r="AG69" s="19" t="n">
        <x:v>3679</x:v>
      </x:c>
      <x:c r="AH69" s="19" t="n">
        <x:v>3256</x:v>
      </x:c>
      <x:c r="AI69" s="19" t="n">
        <x:v>3256</x:v>
      </x:c>
      <x:c r="AJ69" s="19" t="n">
        <x:v>3245</x:v>
      </x:c>
      <x:c r="AK69" s="19" t="n">
        <x:v>3242</x:v>
      </x:c>
      <x:c r="AL69" s="23" t="n">
        <x:v>6.9435316818627605e+171</x:v>
      </x:c>
      <x:c r="AM69" s="23" t="n">
        <x:v>1.0351527296292792e+140</x:v>
      </x:c>
      <x:c r="AN69" s="23" t="n">
        <x:v>6.446758277710168e+211</x:v>
      </x:c>
      <x:c r="AO69" s="23" t="n">
        <x:v>5.372298564758471e+210</x:v>
      </x:c>
      <x:c r="AP69" s="23" t="n">
        <x:v>7.048305187451936e+150</x:v>
      </x:c>
      <x:c r="AQ69" s="19" t="n">
        <x:v>32</x:v>
      </x:c>
      <x:c r="AR69" s="19" t="n">
        <x:v>0</x:v>
      </x:c>
      <x:c r="AS69" s="19" t="n">
        <x:v>6</x:v>
      </x:c>
      <x:c r="AT69" s="19" t="n">
        <x:v>6</x:v>
      </x:c>
    </x:row>
    <x:row r="70" ht="25" customHeight="1">
      <x:c r="A70" s="18" t="str">
        <x:v>hourly_balanced</x:v>
      </x:c>
      <x:c r="B70" s="18" t="n">
        <x:v>3</x:v>
      </x:c>
      <x:c r="C70" s="18" t="n">
        <x:v>30</x:v>
      </x:c>
      <x:c r="D70" s="18" t="n">
        <x:v>5086</x:v>
      </x:c>
      <x:c r="E70" s="18" t="n">
        <x:v>5086</x:v>
      </x:c>
      <x:c r="F70" s="18" t="n">
        <x:v>3047</x:v>
      </x:c>
      <x:c r="G70" s="18" t="n">
        <x:v>26279</x:v>
      </x:c>
      <x:c r="H70" s="18" t="n">
        <x:v>131</x:v>
      </x:c>
      <x:c r="I70" s="20" t="n">
        <x:v>565.2288064835593</x:v>
      </x:c>
      <x:c r="J70" s="20" t="n">
        <x:v>96.85</x:v>
      </x:c>
      <x:c r="K70" s="18" t="n">
        <x:v>3686</x:v>
      </x:c>
      <x:c r="L70" s="18" t="n">
        <x:v>3250</x:v>
      </x:c>
      <x:c r="M70" s="18" t="n">
        <x:v>240</x:v>
      </x:c>
      <x:c r="N70" s="18" t="n">
        <x:v>1</x:v>
      </x:c>
      <x:c r="O70" s="22" t="n">
        <x:v>5.542737182056484e+168</x:v>
      </x:c>
      <x:c r="P70" s="22" t="n">
        <x:v>5.542737182056484e+168</x:v>
      </x:c>
      <x:c r="Q70" s="22" t="n">
        <x:v>6.466526712399123e+167</x:v>
      </x:c>
      <x:c r="R70" s="22" t="n">
        <x:v>3.664710018450809e+169</x:v>
      </x:c>
      <x:c r="S70" s="24" t="n">
        <x:v>0.8</x:v>
      </x:c>
      <x:c r="T70" s="20" t="n">
        <x:v>70.59</x:v>
      </x:c>
      <x:c r="U70" s="22" t="n">
        <x:v>2.4922536614642137e+151</x:v>
      </x:c>
      <x:c r="V70" s="22" t="n">
        <x:v>3.726572434405267e+151</x:v>
      </x:c>
      <x:c r="W70" s="22" t="n">
        <x:v>3.3547023948172423e+152</x:v>
      </x:c>
      <x:c r="X70" s="22" t="n">
        <x:v>7.347991738659626e+212</x:v>
      </x:c>
      <x:c r="Y70" s="22" t="n">
        <x:v>2.1741187755261374e+211</x:v>
      </x:c>
      <x:c r="Z70" s="22" t="n">
        <x:v>1.0847143166968763e+213</x:v>
      </x:c>
      <x:c r="AA70" s="22" t="n">
        <x:v>2.0535199931400345e+211</x:v>
      </x:c>
      <x:c r="AB70" s="22" t="n">
        <x:v>1.8195134905627923e+213</x:v>
      </x:c>
      <x:c r="AC70" s="22" t="n">
        <x:v>4.227638768666209e+211</x:v>
      </x:c>
      <x:c r="AD70" s="18" t="n">
        <x:v>3686</x:v>
      </x:c>
      <x:c r="AE70" s="18" t="n">
        <x:v>3686</x:v>
      </x:c>
      <x:c r="AF70" s="18" t="n">
        <x:v>3675</x:v>
      </x:c>
      <x:c r="AG70" s="18" t="n">
        <x:v>3673</x:v>
      </x:c>
      <x:c r="AH70" s="18" t="n">
        <x:v>3250</x:v>
      </x:c>
      <x:c r="AI70" s="18" t="n">
        <x:v>3250</x:v>
      </x:c>
      <x:c r="AJ70" s="18" t="n">
        <x:v>3239</x:v>
      </x:c>
      <x:c r="AK70" s="18" t="n">
        <x:v>3236</x:v>
      </x:c>
      <x:c r="AL70" s="22" t="n">
        <x:v>4.375602769210722e+171</x:v>
      </x:c>
      <x:c r="AM70" s="22" t="n">
        <x:v>7.09425483782875e+139</x:v>
      </x:c>
      <x:c r="AN70" s="22" t="n">
        <x:v>3.6390269811255856e+211</x:v>
      </x:c>
      <x:c r="AO70" s="22" t="n">
        <x:v>3.032522484271319e+210</x:v>
      </x:c>
      <x:c r="AP70" s="22" t="n">
        <x:v>4.6965833527443714e+150</x:v>
      </x:c>
      <x:c r="AQ70" s="18" t="n">
        <x:v>31</x:v>
      </x:c>
      <x:c r="AR70" s="18" t="n">
        <x:v>0</x:v>
      </x:c>
      <x:c r="AS70" s="18" t="n">
        <x:v>7</x:v>
      </x:c>
      <x:c r="AT70" s="18" t="n">
        <x:v>7</x:v>
      </x:c>
    </x:row>
    <x:row r="71" ht="25" customHeight="1">
      <x:c r="A71" s="19" t="str">
        <x:v>hourly_balanced</x:v>
      </x:c>
      <x:c r="B71" s="19" t="n">
        <x:v>4</x:v>
      </x:c>
      <x:c r="C71" s="19" t="n">
        <x:v>30</x:v>
      </x:c>
      <x:c r="D71" s="19" t="n">
        <x:v>5087</x:v>
      </x:c>
      <x:c r="E71" s="19" t="n">
        <x:v>5087</x:v>
      </x:c>
      <x:c r="F71" s="19" t="n">
        <x:v>3048</x:v>
      </x:c>
      <x:c r="G71" s="19" t="n">
        <x:v>26311</x:v>
      </x:c>
      <x:c r="H71" s="19" t="n">
        <x:v>132</x:v>
      </x:c>
      <x:c r="I71" s="21" t="n">
        <x:v>572.0272352241445</x:v>
      </x:c>
      <x:c r="J71" s="21" t="n">
        <x:v>101.35</x:v>
      </x:c>
      <x:c r="K71" s="19" t="n">
        <x:v>3687</x:v>
      </x:c>
      <x:c r="L71" s="19" t="n">
        <x:v>3250</x:v>
      </x:c>
      <x:c r="M71" s="19" t="n">
        <x:v>240</x:v>
      </x:c>
      <x:c r="N71" s="19" t="n">
        <x:v>2</x:v>
      </x:c>
      <x:c r="O71" s="23" t="n">
        <x:v>5.907172151776574e+168</x:v>
      </x:c>
      <x:c r="P71" s="23" t="n">
        <x:v>5.907172151776574e+168</x:v>
      </x:c>
      <x:c r="Q71" s="23" t="n">
        <x:v>6.891700843739221e+167</x:v>
      </x:c>
      <x:c r="R71" s="23" t="n">
        <x:v>3.906216038231283e+169</x:v>
      </x:c>
      <x:c r="S71" s="25" t="n">
        <x:v>0.8</x:v>
      </x:c>
      <x:c r="T71" s="21" t="n">
        <x:v>70.6</x:v>
      </x:c>
      <x:c r="U71" s="23" t="n">
        <x:v>1.616507322174805e+151</x:v>
      </x:c>
      <x:c r="V71" s="23" t="n">
        <x:v>4.173761126533834e+151</x:v>
      </x:c>
      <x:c r="W71" s="23" t="n">
        <x:v>3.6397850043290103e+152</x:v>
      </x:c>
      <x:c r="X71" s="23" t="n">
        <x:v>8.043774582187841e+212</x:v>
      </x:c>
      <x:c r="Y71" s="23" t="n">
        <x:v>9.120631021942566e+210</x:v>
      </x:c>
      <x:c r="Z71" s="23" t="n">
        <x:v>1.2371166781927296e+213</x:v>
      </x:c>
      <x:c r="AA71" s="23" t="n">
        <x:v>2.0535199931400345e+211</x:v>
      </x:c>
      <x:c r="AB71" s="23" t="n">
        <x:v>2.0414941364114483e+213</x:v>
      </x:c>
      <x:c r="AC71" s="23" t="n">
        <x:v>2.9655830953343414e+211</x:v>
      </x:c>
      <x:c r="AD71" s="19" t="n">
        <x:v>3687</x:v>
      </x:c>
      <x:c r="AE71" s="19" t="n">
        <x:v>3687</x:v>
      </x:c>
      <x:c r="AF71" s="19" t="n">
        <x:v>3676</x:v>
      </x:c>
      <x:c r="AG71" s="19" t="n">
        <x:v>3674</x:v>
      </x:c>
      <x:c r="AH71" s="19" t="n">
        <x:v>3250</x:v>
      </x:c>
      <x:c r="AI71" s="19" t="n">
        <x:v>3250</x:v>
      </x:c>
      <x:c r="AJ71" s="19" t="n">
        <x:v>3239</x:v>
      </x:c>
      <x:c r="AK71" s="19" t="n">
        <x:v>3236</x:v>
      </x:c>
      <x:c r="AL71" s="23" t="n">
        <x:v>4.725650990747277e+171</x:v>
      </x:c>
      <x:c r="AM71" s="23" t="n">
        <x:v>7.5553814022873e+139</x:v>
      </x:c>
      <x:c r="AN71" s="23" t="n">
        <x:v>4.00292967923818e+211</x:v>
      </x:c>
      <x:c r="AO71" s="23" t="n">
        <x:v>3.335774732698481e+210</x:v>
      </x:c>
      <x:c r="AP71" s="23" t="n">
        <x:v>5.025344187436499e+150</x:v>
      </x:c>
      <x:c r="AQ71" s="19" t="n">
        <x:v>31</x:v>
      </x:c>
      <x:c r="AR71" s="19" t="n">
        <x:v>0</x:v>
      </x:c>
      <x:c r="AS71" s="19" t="n">
        <x:v>6</x:v>
      </x:c>
      <x:c r="AT71" s="19" t="n">
        <x:v>6</x:v>
      </x:c>
    </x:row>
    <x:row r="72" ht="25" customHeight="1">
      <x:c r="A72" s="18" t="str">
        <x:v>hourly_balanced</x:v>
      </x:c>
      <x:c r="B72" s="18" t="n">
        <x:v>5</x:v>
      </x:c>
      <x:c r="C72" s="18" t="n">
        <x:v>30</x:v>
      </x:c>
      <x:c r="D72" s="18" t="n">
        <x:v>5080</x:v>
      </x:c>
      <x:c r="E72" s="18" t="n">
        <x:v>5080</x:v>
      </x:c>
      <x:c r="F72" s="18" t="n">
        <x:v>3044</x:v>
      </x:c>
      <x:c r="G72" s="18" t="n">
        <x:v>26237</x:v>
      </x:c>
      <x:c r="H72" s="18" t="n">
        <x:v>127</x:v>
      </x:c>
      <x:c r="I72" s="20" t="n">
        <x:v>536.2206961247139</x:v>
      </x:c>
      <x:c r="J72" s="20" t="n">
        <x:v>98.85</x:v>
      </x:c>
      <x:c r="K72" s="18" t="n">
        <x:v>3682</x:v>
      </x:c>
      <x:c r="L72" s="18" t="n">
        <x:v>3249</x:v>
      </x:c>
      <x:c r="M72" s="18" t="n">
        <x:v>240</x:v>
      </x:c>
      <x:c r="N72" s="18" t="n">
        <x:v>2</x:v>
      </x:c>
      <x:c r="O72" s="22" t="n">
        <x:v>4.1531695785510996e+168</x:v>
      </x:c>
      <x:c r="P72" s="22" t="n">
        <x:v>4.1531695785510996e+168</x:v>
      </x:c>
      <x:c r="Q72" s="22" t="n">
        <x:v>4.845364508309535e+167</x:v>
      </x:c>
      <x:c r="R72" s="22" t="n">
        <x:v>2.7440268283457935e+169</x:v>
      </x:c>
      <x:c r="S72" s="24" t="n">
        <x:v>0.8</x:v>
      </x:c>
      <x:c r="T72" s="20" t="n">
        <x:v>70.53999999999999</x:v>
      </x:c>
      <x:c r="U72" s="22" t="n">
        <x:v>5.625796291499141e+150</x:v>
      </x:c>
      <x:c r="V72" s="22" t="n">
        <x:v>2.652500650855558e+151</x:v>
      </x:c>
      <x:c r="W72" s="22" t="n">
        <x:v>2.2666751719610806e+152</x:v>
      </x:c>
      <x:c r="X72" s="22" t="n">
        <x:v>4.064968348042101e+212</x:v>
      </x:c>
      <x:c r="Y72" s="22" t="n">
        <x:v>6.199453535243964e+210</x:v>
      </x:c>
      <x:c r="Z72" s="22" t="n">
        <x:v>6.411124546157738e+212</x:v>
      </x:c>
      <x:c r="AA72" s="22" t="n">
        <x:v>1.7695131349763232e+211</x:v>
      </x:c>
      <x:c r="AB72" s="22" t="n">
        <x:v>1.0476092894199922e+213</x:v>
      </x:c>
      <x:c r="AC72" s="22" t="n">
        <x:v>2.3894584885007084e+211</x:v>
      </x:c>
      <x:c r="AD72" s="18" t="n">
        <x:v>3682</x:v>
      </x:c>
      <x:c r="AE72" s="18" t="n">
        <x:v>3682</x:v>
      </x:c>
      <x:c r="AF72" s="18" t="n">
        <x:v>3671</x:v>
      </x:c>
      <x:c r="AG72" s="18" t="n">
        <x:v>3669</x:v>
      </x:c>
      <x:c r="AH72" s="18" t="n">
        <x:v>3249</x:v>
      </x:c>
      <x:c r="AI72" s="18" t="n">
        <x:v>3249</x:v>
      </x:c>
      <x:c r="AJ72" s="18" t="n">
        <x:v>3238</x:v>
      </x:c>
      <x:c r="AK72" s="18" t="n">
        <x:v>3235</x:v>
      </x:c>
      <x:c r="AL72" s="22" t="n">
        <x:v>2.757371964461997e+171</x:v>
      </x:c>
      <x:c r="AM72" s="22" t="n">
        <x:v>4.861934887819001e+139</x:v>
      </x:c>
      <x:c r="AN72" s="22" t="n">
        <x:v>2.054135861607717e+211</x:v>
      </x:c>
      <x:c r="AO72" s="22" t="n">
        <x:v>1.7117798846730965e+210</x:v>
      </x:c>
      <x:c r="AP72" s="22" t="n">
        <x:v>3.1295317956072166e+150</x:v>
      </x:c>
      <x:c r="AQ72" s="18" t="n">
        <x:v>34</x:v>
      </x:c>
      <x:c r="AR72" s="18" t="n">
        <x:v>0</x:v>
      </x:c>
      <x:c r="AS72" s="18" t="n">
        <x:v>7</x:v>
      </x:c>
      <x:c r="AT72" s="18" t="n">
        <x:v>7</x:v>
      </x:c>
    </x:row>
    <x:row r="73" ht="25" customHeight="1">
      <x:c r="A73" s="19" t="str">
        <x:v>hourly_balanced</x:v>
      </x:c>
      <x:c r="B73" s="19" t="n">
        <x:v>6</x:v>
      </x:c>
      <x:c r="C73" s="19" t="n">
        <x:v>30</x:v>
      </x:c>
      <x:c r="D73" s="19" t="n">
        <x:v>5091</x:v>
      </x:c>
      <x:c r="E73" s="19" t="n">
        <x:v>5091</x:v>
      </x:c>
      <x:c r="F73" s="19" t="n">
        <x:v>3050</x:v>
      </x:c>
      <x:c r="G73" s="19" t="n">
        <x:v>26340</x:v>
      </x:c>
      <x:c r="H73" s="19" t="n">
        <x:v>136</x:v>
      </x:c>
      <x:c r="I73" s="21" t="n">
        <x:v>554.6700693207094</x:v>
      </x:c>
      <x:c r="J73" s="21" t="n">
        <x:v>98.35</x:v>
      </x:c>
      <x:c r="K73" s="19" t="n">
        <x:v>3690</x:v>
      </x:c>
      <x:c r="L73" s="19" t="n">
        <x:v>3254</x:v>
      </x:c>
      <x:c r="M73" s="19" t="n">
        <x:v>240</x:v>
      </x:c>
      <x:c r="N73" s="19" t="n">
        <x:v>3</x:v>
      </x:c>
      <x:c r="O73" s="23" t="n">
        <x:v>8.56321416090981e+168</x:v>
      </x:c>
      <x:c r="P73" s="23" t="n">
        <x:v>8.56321416090981e+168</x:v>
      </x:c>
      <x:c r="Q73" s="23" t="n">
        <x:v>9.990416521061278e+167</x:v>
      </x:c>
      <x:c r="R73" s="23" t="n">
        <x:v>5.668162717389468e+169</x:v>
      </x:c>
      <x:c r="S73" s="25" t="n">
        <x:v>0.8</x:v>
      </x:c>
      <x:c r="T73" s="21" t="n">
        <x:v>70.67</x:v>
      </x:c>
      <x:c r="U73" s="23" t="n">
        <x:v>4.7391604109329096e+151</x:v>
      </x:c>
      <x:c r="V73" s="23" t="n">
        <x:v>5.235565957123878e+151</x:v>
      </x:c>
      <x:c r="W73" s="23" t="n">
        <x:v>4.836887672029721e+152</x:v>
      </x:c>
      <x:c r="X73" s="23" t="n">
        <x:v>1.2123029735356373e+213</x:v>
      </x:c>
      <x:c r="Y73" s="23" t="n">
        <x:v>1.612540026246803e+211</x:v>
      </x:c>
      <x:c r="Z73" s="23" t="n">
        <x:v>1.8352554850182208e+213</x:v>
      </x:c>
      <x:c r="AA73" s="23" t="n">
        <x:v>3.7245989344287086e+211</x:v>
      </x:c>
      <x:c r="AB73" s="23" t="n">
        <x:v>3.0475584585539475e+213</x:v>
      </x:c>
      <x:c r="AC73" s="23" t="n">
        <x:v>5.33713896067556e+211</x:v>
      </x:c>
      <x:c r="AD73" s="19" t="n">
        <x:v>3690</x:v>
      </x:c>
      <x:c r="AE73" s="19" t="n">
        <x:v>3690</x:v>
      </x:c>
      <x:c r="AF73" s="19" t="n">
        <x:v>3679</x:v>
      </x:c>
      <x:c r="AG73" s="19" t="n">
        <x:v>3677</x:v>
      </x:c>
      <x:c r="AH73" s="19" t="n">
        <x:v>3254</x:v>
      </x:c>
      <x:c r="AI73" s="19" t="n">
        <x:v>3254</x:v>
      </x:c>
      <x:c r="AJ73" s="19" t="n">
        <x:v>3243</x:v>
      </x:c>
      <x:c r="AK73" s="19" t="n">
        <x:v>3240</x:v>
      </x:c>
      <x:c r="AL73" s="23" t="n">
        <x:v>6.429196001724769e+171</x:v>
      </x:c>
      <x:c r="AM73" s="23" t="n">
        <x:v>9.719743940180801e+139</x:v>
      </x:c>
      <x:c r="AN73" s="23" t="n">
        <x:v>5.860689343372444e+211</x:v>
      </x:c>
      <x:c r="AO73" s="23" t="n">
        <x:v>4.8839077861437005e+210</x:v>
      </x:c>
      <x:c r="AP73" s="23" t="n">
        <x:v>6.587201109768136e+150</x:v>
      </x:c>
      <x:c r="AQ73" s="19" t="n">
        <x:v>33</x:v>
      </x:c>
      <x:c r="AR73" s="19" t="n">
        <x:v>0</x:v>
      </x:c>
      <x:c r="AS73" s="19" t="n">
        <x:v>7</x:v>
      </x:c>
      <x:c r="AT73" s="19" t="n">
        <x:v>7</x:v>
      </x:c>
    </x:row>
    <x:row r="74" ht="25" customHeight="1">
      <x:c r="A74" s="18" t="str">
        <x:v>hourly_balanced</x:v>
      </x:c>
      <x:c r="B74" s="18" t="n">
        <x:v>7</x:v>
      </x:c>
      <x:c r="C74" s="18" t="n">
        <x:v>30</x:v>
      </x:c>
      <x:c r="D74" s="18" t="n">
        <x:v>5086</x:v>
      </x:c>
      <x:c r="E74" s="18" t="n">
        <x:v>5086</x:v>
      </x:c>
      <x:c r="F74" s="18" t="n">
        <x:v>3048</x:v>
      </x:c>
      <x:c r="G74" s="18" t="n">
        <x:v>26299</x:v>
      </x:c>
      <x:c r="H74" s="18" t="n">
        <x:v>129</x:v>
      </x:c>
      <x:c r="I74" s="20" t="n">
        <x:v>571.2442714867648</x:v>
      </x:c>
      <x:c r="J74" s="20" t="n">
        <x:v>101.35</x:v>
      </x:c>
      <x:c r="K74" s="18" t="n">
        <x:v>3687</x:v>
      </x:c>
      <x:c r="L74" s="18" t="n">
        <x:v>3251</x:v>
      </x:c>
      <x:c r="M74" s="18" t="n">
        <x:v>240</x:v>
      </x:c>
      <x:c r="N74" s="18" t="n">
        <x:v>4</x:v>
      </x:c>
      <x:c r="O74" s="22" t="n">
        <x:v>6.202530759365304e+168</x:v>
      </x:c>
      <x:c r="P74" s="22" t="n">
        <x:v>6.202530759365304e+168</x:v>
      </x:c>
      <x:c r="Q74" s="22" t="n">
        <x:v>7.236285885926068e+167</x:v>
      </x:c>
      <x:c r="R74" s="22" t="n">
        <x:v>4.102105743013794e+169</x:v>
      </x:c>
      <x:c r="S74" s="24" t="n">
        <x:v>0.8</x:v>
      </x:c>
      <x:c r="T74" s="20" t="n">
        <x:v>70.61000000000001</x:v>
      </x:c>
      <x:c r="U74" s="22" t="n">
        <x:v>1.7465623288232966e+150</x:v>
      </x:c>
      <x:c r="V74" s="22" t="n">
        <x:v>4.173761126533834e+151</x:v>
      </x:c>
      <x:c r="W74" s="22" t="n">
        <x:v>3.495599895399872e+152</x:v>
      </x:c>
      <x:c r="X74" s="22" t="n">
        <x:v>7.303911237446097e+212</x:v>
      </x:c>
      <x:c r="Y74" s="22" t="n">
        <x:v>1.9333302797168773e+211</x:v>
      </x:c>
      <x:c r="Z74" s="22" t="n">
        <x:v>1.1982931762518933e+213</x:v>
      </x:c>
      <x:c r="AA74" s="22" t="n">
        <x:v>2.4756006242434806e+211</x:v>
      </x:c>
      <x:c r="AB74" s="22" t="n">
        <x:v>1.9286842999964936e+213</x:v>
      </x:c>
      <x:c r="AC74" s="22" t="n">
        <x:v>4.40893090396042e+211</x:v>
      </x:c>
      <x:c r="AD74" s="18" t="n">
        <x:v>3687</x:v>
      </x:c>
      <x:c r="AE74" s="18" t="n">
        <x:v>3687</x:v>
      </x:c>
      <x:c r="AF74" s="18" t="n">
        <x:v>3675</x:v>
      </x:c>
      <x:c r="AG74" s="18" t="n">
        <x:v>3673</x:v>
      </x:c>
      <x:c r="AH74" s="18" t="n">
        <x:v>3251</x:v>
      </x:c>
      <x:c r="AI74" s="18" t="n">
        <x:v>3251</x:v>
      </x:c>
      <x:c r="AJ74" s="18" t="n">
        <x:v>3241</x:v>
      </x:c>
      <x:c r="AK74" s="18" t="n">
        <x:v>3238</x:v>
      </x:c>
      <x:c r="AL74" s="22" t="n">
        <x:v>4.375602769210722e+171</x:v>
      </x:c>
      <x:c r="AM74" s="22" t="n">
        <x:v>7.09425483782875e+139</x:v>
      </x:c>
      <x:c r="AN74" s="22" t="n">
        <x:v>3.6390269811255856e+211</x:v>
      </x:c>
      <x:c r="AO74" s="22" t="n">
        <x:v>3.032522484271319e+210</x:v>
      </x:c>
      <x:c r="AP74" s="22" t="n">
        <x:v>4.6965833527443714e+150</x:v>
      </x:c>
      <x:c r="AQ74" s="18" t="n">
        <x:v>31</x:v>
      </x:c>
      <x:c r="AR74" s="18" t="n">
        <x:v>0</x:v>
      </x:c>
      <x:c r="AS74" s="18" t="n">
        <x:v>6</x:v>
      </x:c>
      <x:c r="AT74" s="18" t="n">
        <x:v>6</x:v>
      </x:c>
    </x:row>
    <x:row r="75" ht="25" customHeight="1">
      <x:c r="A75" s="19" t="str">
        <x:v>hourly_balanced</x:v>
      </x:c>
      <x:c r="B75" s="19" t="n">
        <x:v>8</x:v>
      </x:c>
      <x:c r="C75" s="19" t="n">
        <x:v>30</x:v>
      </x:c>
      <x:c r="D75" s="19" t="n">
        <x:v>5088</x:v>
      </x:c>
      <x:c r="E75" s="19" t="n">
        <x:v>5088</x:v>
      </x:c>
      <x:c r="F75" s="19" t="n">
        <x:v>3048</x:v>
      </x:c>
      <x:c r="G75" s="19" t="n">
        <x:v>26296</x:v>
      </x:c>
      <x:c r="H75" s="19" t="n">
        <x:v>131</x:v>
      </x:c>
      <x:c r="I75" s="21" t="n">
        <x:v>512.0440518009127</x:v>
      </x:c>
      <x:c r="J75" s="21" t="n">
        <x:v>93.35</x:v>
      </x:c>
      <x:c r="K75" s="19" t="n">
        <x:v>3687</x:v>
      </x:c>
      <x:c r="L75" s="19" t="n">
        <x:v>3253</x:v>
      </x:c>
      <x:c r="M75" s="19" t="n">
        <x:v>240</x:v>
      </x:c>
      <x:c r="N75" s="19" t="n">
        <x:v>2</x:v>
      </x:c>
      <x:c r="O75" s="23" t="n">
        <x:v>6.83829016220003e+168</x:v>
      </x:c>
      <x:c r="P75" s="23" t="n">
        <x:v>6.83829016220003e+168</x:v>
      </x:c>
      <x:c r="Q75" s="23" t="n">
        <x:v>7.978005189233235e+167</x:v>
      </x:c>
      <x:c r="R75" s="23" t="n">
        <x:v>4.523848062502827e+169</x:v>
      </x:c>
      <x:c r="S75" s="25" t="n">
        <x:v>0.8</x:v>
      </x:c>
      <x:c r="T75" s="21" t="n">
        <x:v>70.63</x:v>
      </x:c>
      <x:c r="U75" s="23" t="n">
        <x:v>4.1643568252051135e+151</x:v>
      </x:c>
      <x:c r="V75" s="23" t="n">
        <x:v>4.173761126533834e+151</x:v>
      </x:c>
      <x:c r="W75" s="23" t="n">
        <x:v>3.8945699546320576e+152</x:v>
      </x:c>
      <x:c r="X75" s="23" t="n">
        <x:v>1.0319291087341237e+213</x:v>
      </x:c>
      <x:c r="Y75" s="23" t="n">
        <x:v>2.627963400925699e+211</x:v>
      </x:c>
      <x:c r="Z75" s="23" t="n">
        <x:v>1.2137144413184931e+213</x:v>
      </x:c>
      <x:c r="AA75" s="23" t="n">
        <x:v>3.209477754785599e+211</x:v>
      </x:c>
      <x:c r="AB75" s="23" t="n">
        <x:v>2.2456435500526132e+213</x:v>
      </x:c>
      <x:c r="AC75" s="23" t="n">
        <x:v>5.837441155711168e+211</x:v>
      </x:c>
      <x:c r="AD75" s="19" t="n">
        <x:v>3687</x:v>
      </x:c>
      <x:c r="AE75" s="19" t="n">
        <x:v>3687</x:v>
      </x:c>
      <x:c r="AF75" s="19" t="n">
        <x:v>3675</x:v>
      </x:c>
      <x:c r="AG75" s="19" t="n">
        <x:v>3674</x:v>
      </x:c>
      <x:c r="AH75" s="19" t="n">
        <x:v>3253</x:v>
      </x:c>
      <x:c r="AI75" s="19" t="n">
        <x:v>3253</x:v>
      </x:c>
      <x:c r="AJ75" s="19" t="n">
        <x:v>3242</x:v>
      </x:c>
      <x:c r="AK75" s="19" t="n">
        <x:v>3239</x:v>
      </x:c>
      <x:c r="AL75" s="23" t="n">
        <x:v>5.103703070007066e+171</x:v>
      </x:c>
      <x:c r="AM75" s="23" t="n">
        <x:v>8.04648119343616e+139</x:v>
      </x:c>
      <x:c r="AN75" s="23" t="n">
        <x:v>4.403222647162037e+211</x:v>
      </x:c>
      <x:c r="AO75" s="23" t="n">
        <x:v>3.6693522059683615e+210</x:v>
      </x:c>
      <x:c r="AP75" s="23" t="n">
        <x:v>5.377118280557077e+150</x:v>
      </x:c>
      <x:c r="AQ75" s="19" t="n">
        <x:v>34</x:v>
      </x:c>
      <x:c r="AR75" s="19" t="n">
        <x:v>0</x:v>
      </x:c>
      <x:c r="AS75" s="19" t="n">
        <x:v>7</x:v>
      </x:c>
      <x:c r="AT75" s="19" t="n">
        <x:v>7</x:v>
      </x:c>
    </x:row>
    <x:row r="76" ht="25" customHeight="1">
      <x:c r="A76" s="18" t="str">
        <x:v>hourly_balanced</x:v>
      </x:c>
      <x:c r="B76" s="18" t="n">
        <x:v>9</x:v>
      </x:c>
      <x:c r="C76" s="18" t="n">
        <x:v>30</x:v>
      </x:c>
      <x:c r="D76" s="18" t="n">
        <x:v>5086</x:v>
      </x:c>
      <x:c r="E76" s="18" t="n">
        <x:v>5086</x:v>
      </x:c>
      <x:c r="F76" s="18" t="n">
        <x:v>3047</x:v>
      </x:c>
      <x:c r="G76" s="18" t="n">
        <x:v>26283</x:v>
      </x:c>
      <x:c r="H76" s="18" t="n">
        <x:v>133</x:v>
      </x:c>
      <x:c r="I76" s="20" t="n">
        <x:v>551.8410262153484</x:v>
      </x:c>
      <x:c r="J76" s="20" t="n">
        <x:v>99.35</x:v>
      </x:c>
      <x:c r="K76" s="18" t="n">
        <x:v>3687</x:v>
      </x:c>
      <x:c r="L76" s="18" t="n">
        <x:v>3251</x:v>
      </x:c>
      <x:c r="M76" s="18" t="n">
        <x:v>240</x:v>
      </x:c>
      <x:c r="N76" s="18" t="n">
        <x:v>3</x:v>
      </x:c>
      <x:c r="O76" s="22" t="n">
        <x:v>6.110867743217079e+168</x:v>
      </x:c>
      <x:c r="P76" s="22" t="n">
        <x:v>6.110867743217079e+168</x:v>
      </x:c>
      <x:c r="Q76" s="22" t="n">
        <x:v>7.129345700419806e+167</x:v>
      </x:c>
      <x:c r="R76" s="22" t="n">
        <x:v>4.0420538383098924e+169</x:v>
      </x:c>
      <x:c r="S76" s="24" t="n">
        <x:v>0.8</x:v>
      </x:c>
      <x:c r="T76" s="20" t="n">
        <x:v>70.62</x:v>
      </x:c>
      <x:c r="U76" s="22" t="n">
        <x:v>3.43157033201312e+151</x:v>
      </x:c>
      <x:c r="V76" s="22" t="n">
        <x:v>3.726572434405267e+151</x:v>
      </x:c>
      <x:c r="W76" s="22" t="n">
        <x:v>3.4486340618720526e+152</x:v>
      </x:c>
      <x:c r="X76" s="22" t="n">
        <x:v>6.551773519926132e+212</x:v>
      </x:c>
      <x:c r="Y76" s="22" t="n">
        <x:v>1.9781315552841064e+211</x:v>
      </x:c>
      <x:c r="Z76" s="22" t="n">
        <x:v>1.2371166781927296e+213</x:v>
      </x:c>
      <x:c r="AA76" s="22" t="n">
        <x:v>2.4191980245876846e+211</x:v>
      </x:c>
      <x:c r="AB76" s="22" t="n">
        <x:v>1.8922940301853523e+213</x:v>
      </x:c>
      <x:c r="AC76" s="22" t="n">
        <x:v>4.397329579871757e+211</x:v>
      </x:c>
      <x:c r="AD76" s="18" t="n">
        <x:v>3687</x:v>
      </x:c>
      <x:c r="AE76" s="18" t="n">
        <x:v>3687</x:v>
      </x:c>
      <x:c r="AF76" s="18" t="n">
        <x:v>3676</x:v>
      </x:c>
      <x:c r="AG76" s="18" t="n">
        <x:v>3674</x:v>
      </x:c>
      <x:c r="AH76" s="18" t="n">
        <x:v>3251</x:v>
      </x:c>
      <x:c r="AI76" s="18" t="n">
        <x:v>3251</x:v>
      </x:c>
      <x:c r="AJ76" s="18" t="n">
        <x:v>3240</x:v>
      </x:c>
      <x:c r="AK76" s="18" t="n">
        <x:v>3238</x:v>
      </x:c>
      <x:c r="AL76" s="22" t="n">
        <x:v>4.375602769210722e+171</x:v>
      </x:c>
      <x:c r="AM76" s="22" t="n">
        <x:v>7.09425483782875e+139</x:v>
      </x:c>
      <x:c r="AN76" s="22" t="n">
        <x:v>3.6390269811255856e+211</x:v>
      </x:c>
      <x:c r="AO76" s="22" t="n">
        <x:v>3.032522484271319e+210</x:v>
      </x:c>
      <x:c r="AP76" s="22" t="n">
        <x:v>4.6965833527443714e+150</x:v>
      </x:c>
      <x:c r="AQ76" s="18" t="n">
        <x:v>32</x:v>
      </x:c>
      <x:c r="AR76" s="18" t="n">
        <x:v>0</x:v>
      </x:c>
      <x:c r="AS76" s="18" t="n">
        <x:v>6</x:v>
      </x:c>
      <x:c r="AT76" s="18" t="n">
        <x:v>6</x:v>
      </x:c>
    </x:row>
    <x:row r="77" ht="25" customHeight="1">
      <x:c r="A77" s="19" t="str">
        <x:v>hourly_balanced</x:v>
      </x:c>
      <x:c r="B77" s="19" t="n">
        <x:v>10</x:v>
      </x:c>
      <x:c r="C77" s="19" t="n">
        <x:v>30</x:v>
      </x:c>
      <x:c r="D77" s="19" t="n">
        <x:v>5087</x:v>
      </x:c>
      <x:c r="E77" s="19" t="n">
        <x:v>5087</x:v>
      </x:c>
      <x:c r="F77" s="19" t="n">
        <x:v>3048</x:v>
      </x:c>
      <x:c r="G77" s="19" t="n">
        <x:v>26298</x:v>
      </x:c>
      <x:c r="H77" s="19" t="n">
        <x:v>132</x:v>
      </x:c>
      <x:c r="I77" s="21" t="n">
        <x:v>590.903453167819</x:v>
      </x:c>
      <x:c r="J77" s="21" t="n">
        <x:v>104.35</x:v>
      </x:c>
      <x:c r="K77" s="19" t="n">
        <x:v>3687</x:v>
      </x:c>
      <x:c r="L77" s="19" t="n">
        <x:v>3250</x:v>
      </x:c>
      <x:c r="M77" s="19" t="n">
        <x:v>240</x:v>
      </x:c>
      <x:c r="N77" s="19" t="n">
        <x:v>2</x:v>
      </x:c>
      <x:c r="O77" s="23" t="n">
        <x:v>5.907172151776574e+168</x:v>
      </x:c>
      <x:c r="P77" s="23" t="n">
        <x:v>5.907172151776574e+168</x:v>
      </x:c>
      <x:c r="Q77" s="23" t="n">
        <x:v>6.891700843739221e+167</x:v>
      </x:c>
      <x:c r="R77" s="23" t="n">
        <x:v>3.906216038231283e+169</x:v>
      </x:c>
      <x:c r="S77" s="25" t="n">
        <x:v>0.8</x:v>
      </x:c>
      <x:c r="T77" s="21" t="n">
        <x:v>70.6</x:v>
      </x:c>
      <x:c r="U77" s="23" t="n">
        <x:v>1.616507322174805e+151</x:v>
      </x:c>
      <x:c r="V77" s="23" t="n">
        <x:v>4.173761126533834e+151</x:v>
      </x:c>
      <x:c r="W77" s="23" t="n">
        <x:v>3.6397850043290103e+152</x:v>
      </x:c>
      <x:c r="X77" s="23" t="n">
        <x:v>8.043774582187841e+212</x:v>
      </x:c>
      <x:c r="Y77" s="23" t="n">
        <x:v>2.198842520799554e+211</x:v>
      </x:c>
      <x:c r="Z77" s="23" t="n">
        <x:v>1.2371166781927296e+213</x:v>
      </x:c>
      <x:c r="AA77" s="23" t="n">
        <x:v>2.0535199931400345e+211</x:v>
      </x:c>
      <x:c r="AB77" s="23" t="n">
        <x:v>2.0414941364114483e+213</x:v>
      </x:c>
      <x:c r="AC77" s="23" t="n">
        <x:v>4.25236251393952e+211</x:v>
      </x:c>
      <x:c r="AD77" s="19" t="n">
        <x:v>3687</x:v>
      </x:c>
      <x:c r="AE77" s="19" t="n">
        <x:v>3687</x:v>
      </x:c>
      <x:c r="AF77" s="19" t="n">
        <x:v>3676</x:v>
      </x:c>
      <x:c r="AG77" s="19" t="n">
        <x:v>3674</x:v>
      </x:c>
      <x:c r="AH77" s="19" t="n">
        <x:v>3250</x:v>
      </x:c>
      <x:c r="AI77" s="19" t="n">
        <x:v>3250</x:v>
      </x:c>
      <x:c r="AJ77" s="19" t="n">
        <x:v>3239</x:v>
      </x:c>
      <x:c r="AK77" s="19" t="n">
        <x:v>3236</x:v>
      </x:c>
      <x:c r="AL77" s="23" t="n">
        <x:v>4.725650990747277e+171</x:v>
      </x:c>
      <x:c r="AM77" s="23" t="n">
        <x:v>7.5553814022873e+139</x:v>
      </x:c>
      <x:c r="AN77" s="23" t="n">
        <x:v>4.00292967923818e+211</x:v>
      </x:c>
      <x:c r="AO77" s="23" t="n">
        <x:v>3.335774732698481e+210</x:v>
      </x:c>
      <x:c r="AP77" s="23" t="n">
        <x:v>5.025344187436499e+150</x:v>
      </x:c>
      <x:c r="AQ77" s="19" t="n">
        <x:v>31</x:v>
      </x:c>
      <x:c r="AR77" s="19" t="n">
        <x:v>0</x:v>
      </x:c>
      <x:c r="AS77" s="19" t="n">
        <x:v>6</x:v>
      </x:c>
      <x:c r="AT77" s="19" t="n">
        <x:v>6</x:v>
      </x:c>
    </x:row>
    <x:row r="78" ht="25" customHeight="1">
      <x:c r="A78" s="18" t="str">
        <x:v>hourly_balanced</x:v>
      </x:c>
      <x:c r="B78" s="18" t="n">
        <x:v>11</x:v>
      </x:c>
      <x:c r="C78" s="18" t="n">
        <x:v>30</x:v>
      </x:c>
      <x:c r="D78" s="18" t="n">
        <x:v>5088</x:v>
      </x:c>
      <x:c r="E78" s="18" t="n">
        <x:v>5088</x:v>
      </x:c>
      <x:c r="F78" s="18" t="n">
        <x:v>3049</x:v>
      </x:c>
      <x:c r="G78" s="18" t="n">
        <x:v>26296</x:v>
      </x:c>
      <x:c r="H78" s="18" t="n">
        <x:v>130</x:v>
      </x:c>
      <x:c r="I78" s="20" t="n">
        <x:v>567.4268313577049</x:v>
      </x:c>
      <x:c r="J78" s="20" t="n">
        <x:v>103.35</x:v>
      </x:c>
      <x:c r="K78" s="18" t="n">
        <x:v>3688</x:v>
      </x:c>
      <x:c r="L78" s="18" t="n">
        <x:v>3251</x:v>
      </x:c>
      <x:c r="M78" s="18" t="n">
        <x:v>240</x:v>
      </x:c>
      <x:c r="N78" s="18" t="n">
        <x:v>3</x:v>
      </x:c>
      <x:c r="O78" s="22" t="n">
        <x:v>6.610347156793867e+168</x:v>
      </x:c>
      <x:c r="P78" s="22" t="n">
        <x:v>6.610347156793867e+168</x:v>
      </x:c>
      <x:c r="Q78" s="22" t="n">
        <x:v>7.712071682926049e+167</x:v>
      </x:c>
      <x:c r="R78" s="22" t="n">
        <x:v>4.3730531270864e+169</x:v>
      </x:c>
      <x:c r="S78" s="24" t="n">
        <x:v>0.8</x:v>
      </x:c>
      <x:c r="T78" s="20" t="n">
        <x:v>70.63</x:v>
      </x:c>
      <x:c r="U78" s="22" t="n">
        <x:v>5.283075267269146e+150</x:v>
      </x:c>
      <x:c r="V78" s="22" t="n">
        <x:v>4.6746124617175154e+151</x:v>
      </x:c>
      <x:c r="W78" s="22" t="n">
        <x:v>3.9483411374373464e+152</x:v>
      </x:c>
      <x:c r="X78" s="22" t="n">
        <x:v>8.787442050455786e+212</x:v>
      </x:c>
      <x:c r="Y78" s="22" t="n">
        <x:v>1.5097579030789903e+211</x:v>
      </x:c>
      <x:c r="Z78" s="22" t="n">
        <x:v>1.4109315714788345e+213</x:v>
      </x:c>
      <x:c r="AA78" s="22" t="n">
        <x:v>2.4756006242434806e+211</x:v>
      </x:c>
      <x:c r="AB78" s="22" t="n">
        <x:v>2.2896757765244666e+213</x:v>
      </x:c>
      <x:c r="AC78" s="22" t="n">
        <x:v>3.9853585273225475e+211</x:v>
      </x:c>
      <x:c r="AD78" s="18" t="n">
        <x:v>3688</x:v>
      </x:c>
      <x:c r="AE78" s="18" t="n">
        <x:v>3688</x:v>
      </x:c>
      <x:c r="AF78" s="18" t="n">
        <x:v>3677</x:v>
      </x:c>
      <x:c r="AG78" s="18" t="n">
        <x:v>3675</x:v>
      </x:c>
      <x:c r="AH78" s="18" t="n">
        <x:v>3251</x:v>
      </x:c>
      <x:c r="AI78" s="18" t="n">
        <x:v>3251</x:v>
      </x:c>
      <x:c r="AJ78" s="18" t="n">
        <x:v>3241</x:v>
      </x:c>
      <x:c r="AK78" s="18" t="n">
        <x:v>3238</x:v>
      </x:c>
      <x:c r="AL78" s="22" t="n">
        <x:v>5.103703070007066e+171</x:v>
      </x:c>
      <x:c r="AM78" s="22" t="n">
        <x:v>8.04648119343616e+139</x:v>
      </x:c>
      <x:c r="AN78" s="22" t="n">
        <x:v>4.403222647162037e+211</x:v>
      </x:c>
      <x:c r="AO78" s="22" t="n">
        <x:v>3.6693522059683615e+210</x:v>
      </x:c>
      <x:c r="AP78" s="22" t="n">
        <x:v>5.377118280557077e+150</x:v>
      </x:c>
      <x:c r="AQ78" s="18" t="n">
        <x:v>30</x:v>
      </x:c>
      <x:c r="AR78" s="18" t="n">
        <x:v>0</x:v>
      </x:c>
      <x:c r="AS78" s="18" t="n">
        <x:v>6</x:v>
      </x:c>
      <x:c r="AT78" s="18" t="n">
        <x:v>6</x:v>
      </x:c>
    </x:row>
    <x:row r="79" ht="25" customHeight="1">
      <x:c r="A79" s="19" t="str">
        <x:v>hourly_balanced</x:v>
      </x:c>
      <x:c r="B79" s="19" t="n">
        <x:v>12</x:v>
      </x:c>
      <x:c r="C79" s="19" t="n">
        <x:v>30</x:v>
      </x:c>
      <x:c r="D79" s="19" t="n">
        <x:v>5089</x:v>
      </x:c>
      <x:c r="E79" s="19" t="n">
        <x:v>5089</x:v>
      </x:c>
      <x:c r="F79" s="19" t="n">
        <x:v>3049</x:v>
      </x:c>
      <x:c r="G79" s="19" t="n">
        <x:v>26314</x:v>
      </x:c>
      <x:c r="H79" s="19" t="n">
        <x:v>135</x:v>
      </x:c>
      <x:c r="I79" s="21" t="n">
        <x:v>618.5022660389659</x:v>
      </x:c>
      <x:c r="J79" s="21" t="n">
        <x:v>107.85</x:v>
      </x:c>
      <x:c r="K79" s="19" t="n">
        <x:v>3689</x:v>
      </x:c>
      <x:c r="L79" s="19" t="n">
        <x:v>3252</x:v>
      </x:c>
      <x:c r="M79" s="19" t="n">
        <x:v>240</x:v>
      </x:c>
      <x:c r="N79" s="19" t="n">
        <x:v>2</x:v>
      </x:c>
      <x:c r="O79" s="23" t="n">
        <x:v>7.287907740365006e+168</x:v>
      </x:c>
      <x:c r="P79" s="23" t="n">
        <x:v>7.287907740365006e+168</x:v>
      </x:c>
      <x:c r="Q79" s="23" t="n">
        <x:v>8.5025590304257e+167</x:v>
      </x:c>
      <x:c r="R79" s="23" t="n">
        <x:v>4.822651482057424e+169</x:v>
      </x:c>
      <x:c r="S79" s="25" t="n">
        <x:v>0.8</x:v>
      </x:c>
      <x:c r="T79" s="21" t="n">
        <x:v>70.65</x:v>
      </x:c>
      <x:c r="U79" s="23" t="n">
        <x:v>2.7167946669136e+151</x:v>
      </x:c>
      <x:c r="V79" s="23" t="n">
        <x:v>4.6746124617175154e+151</x:v>
      </x:c>
      <x:c r="W79" s="23" t="n">
        <x:v>4.167189851456047e+152</x:v>
      </x:c>
      <x:c r="X79" s="23" t="n">
        <x:v>8.914806792286847e+212</x:v>
      </x:c>
      <x:c r="Y79" s="23" t="n">
        <x:v>2.8498457839657784e+211</x:v>
      </x:c>
      <x:c r="Z79" s="23" t="n">
        <x:v>1.578727225829183e+213</x:v>
      </x:c>
      <x:c r="AA79" s="23" t="n">
        <x:v>2.807479307534024e+211</x:v>
      </x:c>
      <x:c r="AB79" s="23" t="n">
        <x:v>2.4702079050578963e+213</x:v>
      </x:c>
      <x:c r="AC79" s="23" t="n">
        <x:v>5.657325091499827e+211</x:v>
      </x:c>
      <x:c r="AD79" s="19" t="n">
        <x:v>3689</x:v>
      </x:c>
      <x:c r="AE79" s="19" t="n">
        <x:v>3689</x:v>
      </x:c>
      <x:c r="AF79" s="19" t="n">
        <x:v>3677</x:v>
      </x:c>
      <x:c r="AG79" s="19" t="n">
        <x:v>3676</x:v>
      </x:c>
      <x:c r="AH79" s="19" t="n">
        <x:v>3252</x:v>
      </x:c>
      <x:c r="AI79" s="19" t="n">
        <x:v>3252</x:v>
      </x:c>
      <x:c r="AJ79" s="19" t="n">
        <x:v>3241</x:v>
      </x:c>
      <x:c r="AK79" s="19" t="n">
        <x:v>3239</x:v>
      </x:c>
      <x:c r="AL79" s="23" t="n">
        <x:v>5.511999315608e+171</x:v>
      </x:c>
      <x:c r="AM79" s="23" t="n">
        <x:v>8.569502471009709e+139</x:v>
      </x:c>
      <x:c r="AN79" s="23" t="n">
        <x:v>4.8435449118779665e+211</x:v>
      </x:c>
      <x:c r="AO79" s="23" t="n">
        <x:v>4.0362874265649696e+210</x:v>
      </x:c>
      <x:c r="AP79" s="23" t="n">
        <x:v>5.753516560196097e+150</x:v>
      </x:c>
      <x:c r="AQ79" s="19" t="n">
        <x:v>31</x:v>
      </x:c>
      <x:c r="AR79" s="19" t="n">
        <x:v>0</x:v>
      </x:c>
      <x:c r="AS79" s="19" t="n">
        <x:v>6</x:v>
      </x:c>
      <x:c r="AT79" s="19" t="n">
        <x:v>6</x:v>
      </x:c>
    </x:row>
    <x:row r="80" ht="25" customHeight="1">
      <x:c r="A80" s="18" t="str">
        <x:v>hourly_balanced</x:v>
      </x:c>
      <x:c r="B80" s="18" t="n">
        <x:v>13</x:v>
      </x:c>
      <x:c r="C80" s="18" t="n">
        <x:v>30</x:v>
      </x:c>
      <x:c r="D80" s="18" t="n">
        <x:v>5092</x:v>
      </x:c>
      <x:c r="E80" s="18" t="n">
        <x:v>5092</x:v>
      </x:c>
      <x:c r="F80" s="18" t="n">
        <x:v>3051</x:v>
      </x:c>
      <x:c r="G80" s="18" t="n">
        <x:v>26314</x:v>
      </x:c>
      <x:c r="H80" s="18" t="n">
        <x:v>129</x:v>
      </x:c>
      <x:c r="I80" s="20" t="n">
        <x:v>568.7560894502676</x:v>
      </x:c>
      <x:c r="J80" s="20" t="n">
        <x:v>98.35</x:v>
      </x:c>
      <x:c r="K80" s="18" t="n">
        <x:v>3691</x:v>
      </x:c>
      <x:c r="L80" s="18" t="n">
        <x:v>3255</x:v>
      </x:c>
      <x:c r="M80" s="18" t="n">
        <x:v>240</x:v>
      </x:c>
      <x:c r="N80" s="18" t="n">
        <x:v>1</x:v>
      </x:c>
      <x:c r="O80" s="22" t="n">
        <x:v>9.582557766588759e+168</x:v>
      </x:c>
      <x:c r="P80" s="22" t="n">
        <x:v>9.582557766588759e+168</x:v>
      </x:c>
      <x:c r="Q80" s="22" t="n">
        <x:v>1.1179650727686699e+168</x:v>
      </x:c>
      <x:c r="R80" s="22" t="n">
        <x:v>6.345569753035065e+169</x:v>
      </x:c>
      <x:c r="S80" s="24" t="n">
        <x:v>0.8</x:v>
      </x:c>
      <x:c r="T80" s="20" t="n">
        <x:v>70.7</x:v>
      </x:c>
      <x:c r="U80" s="22" t="n">
        <x:v>1.4797547867394166e+151</x:v>
      </x:c>
      <x:c r="V80" s="22" t="n">
        <x:v>5.863833871978652e+151</x:v>
      </x:c>
      <x:c r="W80" s="22" t="n">
        <x:v>5.034503705322892e+152</x:v>
      </x:c>
      <x:c r="X80" s="22" t="n">
        <x:v>1.13027025819163e+213</x:v>
      </x:c>
      <x:c r="Y80" s="22" t="n">
        <x:v>3.124646749090707e+211</x:v>
      </x:c>
      <x:c r="Z80" s="22" t="n">
        <x:v>2.09310888066332e+213</x:v>
      </x:c>
      <x:c r="AA80" s="22" t="n">
        <x:v>4.490153238308178e+211</x:v>
      </x:c>
      <x:c r="AB80" s="22" t="n">
        <x:v>3.223379138854873e+213</x:v>
      </x:c>
      <x:c r="AC80" s="22" t="n">
        <x:v>7.61479998739887e+211</x:v>
      </x:c>
      <x:c r="AD80" s="18" t="n">
        <x:v>3691</x:v>
      </x:c>
      <x:c r="AE80" s="18" t="n">
        <x:v>3691</x:v>
      </x:c>
      <x:c r="AF80" s="18" t="n">
        <x:v>3680</x:v>
      </x:c>
      <x:c r="AG80" s="18" t="n">
        <x:v>3678</x:v>
      </x:c>
      <x:c r="AH80" s="18" t="n">
        <x:v>3255</x:v>
      </x:c>
      <x:c r="AI80" s="18" t="n">
        <x:v>3255</x:v>
      </x:c>
      <x:c r="AJ80" s="18" t="n">
        <x:v>3245</x:v>
      </x:c>
      <x:c r="AK80" s="18" t="n">
        <x:v>3242</x:v>
      </x:c>
      <x:c r="AL80" s="22" t="n">
        <x:v>6.9435316818627605e+171</x:v>
      </x:c>
      <x:c r="AM80" s="22" t="n">
        <x:v>1.0351527296292792e+140</x:v>
      </x:c>
      <x:c r="AN80" s="22" t="n">
        <x:v>6.446758277710168e+211</x:v>
      </x:c>
      <x:c r="AO80" s="22" t="n">
        <x:v>5.372298564758471e+210</x:v>
      </x:c>
      <x:c r="AP80" s="22" t="n">
        <x:v>7.048305187451936e+150</x:v>
      </x:c>
      <x:c r="AQ80" s="18" t="n">
        <x:v>32</x:v>
      </x:c>
      <x:c r="AR80" s="18" t="n">
        <x:v>0</x:v>
      </x:c>
      <x:c r="AS80" s="18" t="n">
        <x:v>7</x:v>
      </x:c>
      <x:c r="AT80" s="18" t="n">
        <x:v>7</x:v>
      </x:c>
    </x:row>
    <x:row r="81" ht="25" customHeight="1">
      <x:c r="A81" s="19" t="str">
        <x:v>hourly_balanced</x:v>
      </x:c>
      <x:c r="B81" s="19" t="n">
        <x:v>14</x:v>
      </x:c>
      <x:c r="C81" s="19" t="n">
        <x:v>30</x:v>
      </x:c>
      <x:c r="D81" s="19" t="n">
        <x:v>5085</x:v>
      </x:c>
      <x:c r="E81" s="19" t="n">
        <x:v>5085</x:v>
      </x:c>
      <x:c r="F81" s="19" t="n">
        <x:v>3047</x:v>
      </x:c>
      <x:c r="G81" s="19" t="n">
        <x:v>26292</x:v>
      </x:c>
      <x:c r="H81" s="19" t="n">
        <x:v>132</x:v>
      </x:c>
      <x:c r="I81" s="21" t="n">
        <x:v>538.4106492835563</x:v>
      </x:c>
      <x:c r="J81" s="21" t="n">
        <x:v>94.35</x:v>
      </x:c>
      <x:c r="K81" s="19" t="n">
        <x:v>3686</x:v>
      </x:c>
      <x:c r="L81" s="19" t="n">
        <x:v>3252</x:v>
      </x:c>
      <x:c r="M81" s="19" t="n">
        <x:v>240</x:v>
      </x:c>
      <x:c r="N81" s="19" t="n">
        <x:v>5</x:v>
      </x:c>
      <x:c r="O81" s="23" t="n">
        <x:v>6.110867743217079e+168</x:v>
      </x:c>
      <x:c r="P81" s="23" t="n">
        <x:v>6.110867743217079e+168</x:v>
      </x:c>
      <x:c r="Q81" s="23" t="n">
        <x:v>7.129345700419806e+167</x:v>
      </x:c>
      <x:c r="R81" s="23" t="n">
        <x:v>4.040913142997835e+169</x:v>
      </x:c>
      <x:c r="S81" s="25" t="n">
        <x:v>0.8</x:v>
      </x:c>
      <x:c r="T81" s="21" t="n">
        <x:v>70.6</x:v>
      </x:c>
      <x:c r="U81" s="23" t="n">
        <x:v>2.0533206378431808e+151</x:v>
      </x:c>
      <x:c r="V81" s="23" t="n">
        <x:v>3.726572434405267e+151</x:v>
      </x:c>
      <x:c r="W81" s="23" t="n">
        <x:v>3.310809092455166e+152</x:v>
      </x:c>
      <x:c r="X81" s="23" t="n">
        <x:v>7.357578836943944e+212</x:v>
      </x:c>
      <x:c r="Y81" s="23" t="n">
        <x:v>2.466709501683953e+211</x:v>
      </x:c>
      <x:c r="Z81" s="23" t="n">
        <x:v>1.0506735434037257e+213</x:v>
      </x:c>
      <x:c r="AA81" s="23" t="n">
        <x:v>2.765599099341302e+211</x:v>
      </x:c>
      <x:c r="AB81" s="23" t="n">
        <x:v>1.786431427098118e+213</x:v>
      </x:c>
      <x:c r="AC81" s="23" t="n">
        <x:v>5.232308601025113e+211</x:v>
      </x:c>
      <x:c r="AD81" s="19" t="n">
        <x:v>3686</x:v>
      </x:c>
      <x:c r="AE81" s="19" t="n">
        <x:v>3686</x:v>
      </x:c>
      <x:c r="AF81" s="19" t="n">
        <x:v>3674</x:v>
      </x:c>
      <x:c r="AG81" s="19" t="n">
        <x:v>3672</x:v>
      </x:c>
      <x:c r="AH81" s="19" t="n">
        <x:v>3252</x:v>
      </x:c>
      <x:c r="AI81" s="19" t="n">
        <x:v>3252</x:v>
      </x:c>
      <x:c r="AJ81" s="19" t="n">
        <x:v>3241</x:v>
      </x:c>
      <x:c r="AK81" s="19" t="n">
        <x:v>3238</x:v>
      </x:c>
      <x:c r="AL81" s="23" t="n">
        <x:v>4.051484045565477e+171</x:v>
      </x:c>
      <x:c r="AM81" s="23" t="n">
        <x:v>6.661272148196292e+139</x:v>
      </x:c>
      <x:c r="AN81" s="23" t="n">
        <x:v>3.3082063464777755e+211</x:v>
      </x:c>
      <x:c r="AO81" s="23" t="n">
        <x:v>2.7568386220648113e+210</x:v>
      </x:c>
      <x:c r="AP81" s="23" t="n">
        <x:v>4.389330236209674e+150</x:v>
      </x:c>
      <x:c r="AQ81" s="19" t="n">
        <x:v>34</x:v>
      </x:c>
      <x:c r="AR81" s="19" t="n">
        <x:v>0</x:v>
      </x:c>
      <x:c r="AS81" s="19" t="n">
        <x:v>6</x:v>
      </x:c>
      <x:c r="AT81" s="19" t="n">
        <x:v>6</x:v>
      </x:c>
    </x:row>
    <x:row r="82" ht="25" customHeight="1">
      <x:c r="A82" s="18" t="str">
        <x:v>hourly_balanced</x:v>
      </x:c>
      <x:c r="B82" s="18" t="n">
        <x:v>15</x:v>
      </x:c>
      <x:c r="C82" s="18" t="n">
        <x:v>30</x:v>
      </x:c>
      <x:c r="D82" s="18" t="n">
        <x:v>5086</x:v>
      </x:c>
      <x:c r="E82" s="18" t="n">
        <x:v>5086</x:v>
      </x:c>
      <x:c r="F82" s="18" t="n">
        <x:v>3047</x:v>
      </x:c>
      <x:c r="G82" s="18" t="n">
        <x:v>26297</x:v>
      </x:c>
      <x:c r="H82" s="18" t="n">
        <x:v>131</x:v>
      </x:c>
      <x:c r="I82" s="20" t="n">
        <x:v>541.2809369130409</x:v>
      </x:c>
      <x:c r="J82" s="20" t="n">
        <x:v>94.85</x:v>
      </x:c>
      <x:c r="K82" s="18" t="n">
        <x:v>3686</x:v>
      </x:c>
      <x:c r="L82" s="18" t="n">
        <x:v>3252</x:v>
      </x:c>
      <x:c r="M82" s="18" t="n">
        <x:v>240</x:v>
      </x:c>
      <x:c r="N82" s="18" t="n">
        <x:v>3</x:v>
      </x:c>
      <x:c r="O82" s="22" t="n">
        <x:v>6.110867743217079e+168</x:v>
      </x:c>
      <x:c r="P82" s="22" t="n">
        <x:v>6.110867743217079e+168</x:v>
      </x:c>
      <x:c r="Q82" s="22" t="n">
        <x:v>7.129345700419806e+167</x:v>
      </x:c>
      <x:c r="R82" s="22" t="n">
        <x:v>4.0420538383098924e+169</x:v>
      </x:c>
      <x:c r="S82" s="24" t="n">
        <x:v>0.8</x:v>
      </x:c>
      <x:c r="T82" s="20" t="n">
        <x:v>70.62</x:v>
      </x:c>
      <x:c r="U82" s="22" t="n">
        <x:v>3.43157033201312e+151</x:v>
      </x:c>
      <x:c r="V82" s="22" t="n">
        <x:v>3.726572434405267e+151</x:v>
      </x:c>
      <x:c r="W82" s="22" t="n">
        <x:v>3.4486340618720526e+152</x:v>
      </x:c>
      <x:c r="X82" s="22" t="n">
        <x:v>8.075797134885167e+212</x:v>
      </x:c>
      <x:c r="Y82" s="22" t="n">
        <x:v>1.5282858710493096e+211</x:v>
      </x:c>
      <x:c r="Z82" s="22" t="n">
        <x:v>1.0847143166968763e+213</x:v>
      </x:c>
      <x:c r="AA82" s="22" t="n">
        <x:v>2.807479307534024e+211</x:v>
      </x:c>
      <x:c r="AB82" s="22" t="n">
        <x:v>1.8922940301853523e+213</x:v>
      </x:c>
      <x:c r="AC82" s="22" t="n">
        <x:v>4.335765178583428e+211</x:v>
      </x:c>
      <x:c r="AD82" s="18" t="n">
        <x:v>3686</x:v>
      </x:c>
      <x:c r="AE82" s="18" t="n">
        <x:v>3686</x:v>
      </x:c>
      <x:c r="AF82" s="18" t="n">
        <x:v>3675</x:v>
      </x:c>
      <x:c r="AG82" s="18" t="n">
        <x:v>3673</x:v>
      </x:c>
      <x:c r="AH82" s="18" t="n">
        <x:v>3252</x:v>
      </x:c>
      <x:c r="AI82" s="18" t="n">
        <x:v>3252</x:v>
      </x:c>
      <x:c r="AJ82" s="18" t="n">
        <x:v>3241</x:v>
      </x:c>
      <x:c r="AK82" s="18" t="n">
        <x:v>3239</x:v>
      </x:c>
      <x:c r="AL82" s="22" t="n">
        <x:v>4.375602769210722e+171</x:v>
      </x:c>
      <x:c r="AM82" s="22" t="n">
        <x:v>7.09425483782875e+139</x:v>
      </x:c>
      <x:c r="AN82" s="22" t="n">
        <x:v>3.6390269811255856e+211</x:v>
      </x:c>
      <x:c r="AO82" s="22" t="n">
        <x:v>3.032522484271319e+210</x:v>
      </x:c>
      <x:c r="AP82" s="22" t="n">
        <x:v>4.6965833527443714e+150</x:v>
      </x:c>
      <x:c r="AQ82" s="18" t="n">
        <x:v>33</x:v>
      </x:c>
      <x:c r="AR82" s="18" t="n">
        <x:v>0</x:v>
      </x:c>
      <x:c r="AS82" s="18" t="n">
        <x:v>7</x:v>
      </x:c>
      <x:c r="AT82" s="18" t="n">
        <x:v>7</x:v>
      </x:c>
    </x:row>
    <x:row r="83" ht="25" customHeight="1">
      <x:c r="A83" s="19" t="str">
        <x:v>hourly_balanced</x:v>
      </x:c>
      <x:c r="B83" s="19" t="n">
        <x:v>16</x:v>
      </x:c>
      <x:c r="C83" s="19" t="n">
        <x:v>30</x:v>
      </x:c>
      <x:c r="D83" s="19" t="n">
        <x:v>5087</x:v>
      </x:c>
      <x:c r="E83" s="19" t="n">
        <x:v>5087</x:v>
      </x:c>
      <x:c r="F83" s="19" t="n">
        <x:v>3048</x:v>
      </x:c>
      <x:c r="G83" s="19" t="n">
        <x:v>26319</x:v>
      </x:c>
      <x:c r="H83" s="19" t="n">
        <x:v>130</x:v>
      </x:c>
      <x:c r="I83" s="21" t="n">
        <x:v>569.2308032742003</x:v>
      </x:c>
      <x:c r="J83" s="21" t="n">
        <x:v>103.35</x:v>
      </x:c>
      <x:c r="K83" s="19" t="n">
        <x:v>3686</x:v>
      </x:c>
      <x:c r="L83" s="19" t="n">
        <x:v>3251</x:v>
      </x:c>
      <x:c r="M83" s="19" t="n">
        <x:v>240</x:v>
      </x:c>
      <x:c r="N83" s="19" t="n">
        <x:v>3</x:v>
      </x:c>
      <x:c r="O83" s="23" t="n">
        <x:v>5.907172151776574e+168</x:v>
      </x:c>
      <x:c r="P83" s="23" t="n">
        <x:v>5.907172151776574e+168</x:v>
      </x:c>
      <x:c r="Q83" s="23" t="n">
        <x:v>6.891700843739221e+167</x:v>
      </x:c>
      <x:c r="R83" s="23" t="n">
        <x:v>3.906216038231283e+169</x:v>
      </x:c>
      <x:c r="S83" s="25" t="n">
        <x:v>0.8</x:v>
      </x:c>
      <x:c r="T83" s="21" t="n">
        <x:v>70.6</x:v>
      </x:c>
      <x:c r="U83" s="23" t="n">
        <x:v>2.1190417409183996e+151</x:v>
      </x:c>
      <x:c r="V83" s="23" t="n">
        <x:v>4.173761126533834e+151</x:v>
      </x:c>
      <x:c r="W83" s="23" t="n">
        <x:v>3.690038446203353e+152</x:v>
      </x:c>
      <x:c r="X83" s="23" t="n">
        <x:v>9.968091165071176e+212</x:v>
      </x:c>
      <x:c r="Y83" s="23" t="n">
        <x:v>1.943194974193732e+211</x:v>
      </x:c>
      <x:c r="Z83" s="23" t="n">
        <x:v>1.0847143166968763e+213</x:v>
      </x:c>
      <x:c r="AA83" s="23" t="n">
        <x:v>2.3831099520390233e+211</x:v>
      </x:c>
      <x:c r="AB83" s="23" t="n">
        <x:v>2.0815234332040422e+213</x:v>
      </x:c>
      <x:c r="AC83" s="23" t="n">
        <x:v>4.326304926232885e+211</x:v>
      </x:c>
      <x:c r="AD83" s="19" t="n">
        <x:v>3686</x:v>
      </x:c>
      <x:c r="AE83" s="19" t="n">
        <x:v>3686</x:v>
      </x:c>
      <x:c r="AF83" s="19" t="n">
        <x:v>3675</x:v>
      </x:c>
      <x:c r="AG83" s="19" t="n">
        <x:v>3673</x:v>
      </x:c>
      <x:c r="AH83" s="19" t="n">
        <x:v>3251</x:v>
      </x:c>
      <x:c r="AI83" s="19" t="n">
        <x:v>3251</x:v>
      </x:c>
      <x:c r="AJ83" s="19" t="n">
        <x:v>3240</x:v>
      </x:c>
      <x:c r="AK83" s="19" t="n">
        <x:v>3237</x:v>
      </x:c>
      <x:c r="AL83" s="23" t="n">
        <x:v>4.725650990747277e+171</x:v>
      </x:c>
      <x:c r="AM83" s="23" t="n">
        <x:v>7.5553814022873e+139</x:v>
      </x:c>
      <x:c r="AN83" s="23" t="n">
        <x:v>4.00292967923818e+211</x:v>
      </x:c>
      <x:c r="AO83" s="23" t="n">
        <x:v>3.335774732698481e+210</x:v>
      </x:c>
      <x:c r="AP83" s="23" t="n">
        <x:v>5.025344187436499e+150</x:v>
      </x:c>
      <x:c r="AQ83" s="19" t="n">
        <x:v>32</x:v>
      </x:c>
      <x:c r="AR83" s="19" t="n">
        <x:v>0</x:v>
      </x:c>
      <x:c r="AS83" s="19" t="n">
        <x:v>6</x:v>
      </x:c>
      <x:c r="AT83" s="19" t="n">
        <x:v>6</x:v>
      </x:c>
    </x:row>
    <x:row r="84" ht="25" customHeight="1">
      <x:c r="A84" s="18" t="str">
        <x:v>hourly_balanced</x:v>
      </x:c>
      <x:c r="B84" s="18" t="n">
        <x:v>17</x:v>
      </x:c>
      <x:c r="C84" s="18" t="n">
        <x:v>30</x:v>
      </x:c>
      <x:c r="D84" s="18" t="n">
        <x:v>5093</x:v>
      </x:c>
      <x:c r="E84" s="18" t="n">
        <x:v>5093</x:v>
      </x:c>
      <x:c r="F84" s="18" t="n">
        <x:v>3052</x:v>
      </x:c>
      <x:c r="G84" s="18" t="n">
        <x:v>26321</x:v>
      </x:c>
      <x:c r="H84" s="18" t="n">
        <x:v>131</x:v>
      </x:c>
      <x:c r="I84" s="20" t="n">
        <x:v>578.4408352921018</x:v>
      </x:c>
      <x:c r="J84" s="20" t="n">
        <x:v>102.35</x:v>
      </x:c>
      <x:c r="K84" s="18" t="n">
        <x:v>3691</x:v>
      </x:c>
      <x:c r="L84" s="18" t="n">
        <x:v>3255</x:v>
      </x:c>
      <x:c r="M84" s="18" t="n">
        <x:v>240</x:v>
      </x:c>
      <x:c r="N84" s="18" t="n">
        <x:v>4</x:v>
      </x:c>
      <x:c r="O84" s="22" t="n">
        <x:v>9.726296133087541e+168</x:v>
      </x:c>
      <x:c r="P84" s="22" t="n">
        <x:v>9.726296133087541e+168</x:v>
      </x:c>
      <x:c r="Q84" s="22" t="n">
        <x:v>1.1347345488601943e+168</x:v>
      </x:c>
      <x:c r="R84" s="22" t="n">
        <x:v>6.439845511691287e+169</x:v>
      </x:c>
      <x:c r="S84" s="24" t="n">
        <x:v>0.8</x:v>
      </x:c>
      <x:c r="T84" s="20" t="n">
        <x:v>70.69</x:v>
      </x:c>
      <x:c r="U84" s="22" t="n">
        <x:v>1.402579473658695e+151</x:v>
      </x:c>
      <x:c r="V84" s="22" t="n">
        <x:v>6.567493936615987e+151</x:v>
      </x:c>
      <x:c r="W84" s="22" t="n">
        <x:v>5.613169561212485e+152</x:v>
      </x:c>
      <x:c r="X84" s="22" t="n">
        <x:v>1.66535119524159e+213</x:v>
      </x:c>
      <x:c r="Y84" s="22" t="n">
        <x:v>5.031863433397031e+211</x:v>
      </x:c>
      <x:c r="Z84" s="22" t="n">
        <x:v>2.09310888066332e+213</x:v>
      </x:c>
      <x:c r="AA84" s="22" t="n">
        <x:v>4.32239706340454e+211</x:v>
      </x:c>
      <x:c r="AB84" s="22" t="n">
        <x:v>3.758460075904932e+213</x:v>
      </x:c>
      <x:c r="AC84" s="22" t="n">
        <x:v>9.35426049680129e+211</x:v>
      </x:c>
      <x:c r="AD84" s="18" t="n">
        <x:v>3691</x:v>
      </x:c>
      <x:c r="AE84" s="18" t="n">
        <x:v>3691</x:v>
      </x:c>
      <x:c r="AF84" s="18" t="n">
        <x:v>3680</x:v>
      </x:c>
      <x:c r="AG84" s="18" t="n">
        <x:v>3678</x:v>
      </x:c>
      <x:c r="AH84" s="18" t="n">
        <x:v>3255</x:v>
      </x:c>
      <x:c r="AI84" s="18" t="n">
        <x:v>3255</x:v>
      </x:c>
      <x:c r="AJ84" s="18" t="n">
        <x:v>3244</x:v>
      </x:c>
      <x:c r="AK84" s="18" t="n">
        <x:v>3241</x:v>
      </x:c>
      <x:c r="AL84" s="22" t="n">
        <x:v>7.499014216412282e+171</x:v>
      </x:c>
      <x:c r="AM84" s="22" t="n">
        <x:v>1.102437657055208e+140</x:v>
      </x:c>
      <x:c r="AN84" s="22" t="n">
        <x:v>7.091434105480784e+211</x:v>
      </x:c>
      <x:c r="AO84" s="22" t="n">
        <x:v>5.909528421233983e+210</x:v>
      </x:c>
      <x:c r="AP84" s="22" t="n">
        <x:v>7.541686550573604e+150</x:v>
      </x:c>
      <x:c r="AQ84" s="18" t="n">
        <x:v>31</x:v>
      </x:c>
      <x:c r="AR84" s="18" t="n">
        <x:v>0</x:v>
      </x:c>
      <x:c r="AS84" s="18" t="n">
        <x:v>6</x:v>
      </x:c>
      <x:c r="AT84" s="18" t="n">
        <x:v>6</x:v>
      </x:c>
    </x:row>
    <x:row r="85" ht="25" customHeight="1">
      <x:c r="A85" s="19" t="str">
        <x:v>hourly_balanced</x:v>
      </x:c>
      <x:c r="B85" s="19" t="n">
        <x:v>18</x:v>
      </x:c>
      <x:c r="C85" s="19" t="n">
        <x:v>30</x:v>
      </x:c>
      <x:c r="D85" s="19" t="n">
        <x:v>5091</x:v>
      </x:c>
      <x:c r="E85" s="19" t="n">
        <x:v>5091</x:v>
      </x:c>
      <x:c r="F85" s="19" t="n">
        <x:v>3051</x:v>
      </x:c>
      <x:c r="G85" s="19" t="n">
        <x:v>26355</x:v>
      </x:c>
      <x:c r="H85" s="19" t="n">
        <x:v>132</x:v>
      </x:c>
      <x:c r="I85" s="21" t="n">
        <x:v>528.0609459105763</x:v>
      </x:c>
      <x:c r="J85" s="21" t="n">
        <x:v>93.85</x:v>
      </x:c>
      <x:c r="K85" s="19" t="n">
        <x:v>3690</x:v>
      </x:c>
      <x:c r="L85" s="19" t="n">
        <x:v>3254</x:v>
      </x:c>
      <x:c r="M85" s="19" t="n">
        <x:v>240</x:v>
      </x:c>
      <x:c r="N85" s="19" t="n">
        <x:v>5</x:v>
      </x:c>
      <x:c r="O85" s="23" t="n">
        <x:v>8.691662373323414e+168</x:v>
      </x:c>
      <x:c r="P85" s="23" t="n">
        <x:v>8.691662373323414e+168</x:v>
      </x:c>
      <x:c r="Q85" s="23" t="n">
        <x:v>1.0140272768877146e+168</x:v>
      </x:c>
      <x:c r="R85" s="23" t="n">
        <x:v>5.753996379971763e+169</x:v>
      </x:c>
      <x:c r="S85" s="25" t="n">
        <x:v>0.8</x:v>
      </x:c>
      <x:c r="T85" s="21" t="n">
        <x:v>70.68</x:v>
      </x:c>
      <x:c r="U85" s="23" t="n">
        <x:v>8.2103467576258e+150</x:v>
      </x:c>
      <x:c r="V85" s="23" t="n">
        <x:v>5.863833871978652e+151</x:v>
      </x:c>
      <x:c r="W85" s="23" t="n">
        <x:v>4.968631694225237e+152</x:v>
      </x:c>
      <x:c r="X85" s="23" t="n">
        <x:v>1.3295167604031651e+213</x:v>
      </x:c>
      <x:c r="Y85" s="23" t="n">
        <x:v>4.888062086433356e+211</x:v>
      </x:c>
      <x:c r="Z85" s="23" t="n">
        <x:v>1.8352554850182208e+213</x:v>
      </x:c>
      <x:c r="AA85" s="23" t="n">
        <x:v>3.781001534084391e+211</x:v>
      </x:c>
      <x:c r="AB85" s="23" t="n">
        <x:v>3.164772245421331e+213</x:v>
      </x:c>
      <x:c r="AC85" s="23" t="n">
        <x:v>8.669063620517868e+211</x:v>
      </x:c>
      <x:c r="AD85" s="19" t="n">
        <x:v>3690</x:v>
      </x:c>
      <x:c r="AE85" s="19" t="n">
        <x:v>3690</x:v>
      </x:c>
      <x:c r="AF85" s="19" t="n">
        <x:v>3679</x:v>
      </x:c>
      <x:c r="AG85" s="19" t="n">
        <x:v>3677</x:v>
      </x:c>
      <x:c r="AH85" s="19" t="n">
        <x:v>3254</x:v>
      </x:c>
      <x:c r="AI85" s="19" t="n">
        <x:v>3254</x:v>
      </x:c>
      <x:c r="AJ85" s="19" t="n">
        <x:v>3243</x:v>
      </x:c>
      <x:c r="AK85" s="19" t="n">
        <x:v>3241</x:v>
      </x:c>
      <x:c r="AL85" s="23" t="n">
        <x:v>6.429196001724769e+171</x:v>
      </x:c>
      <x:c r="AM85" s="23" t="n">
        <x:v>9.719743940180801e+139</x:v>
      </x:c>
      <x:c r="AN85" s="23" t="n">
        <x:v>5.860689343372444e+211</x:v>
      </x:c>
      <x:c r="AO85" s="23" t="n">
        <x:v>4.8839077861437005e+210</x:v>
      </x:c>
      <x:c r="AP85" s="23" t="n">
        <x:v>6.587201109768136e+150</x:v>
      </x:c>
      <x:c r="AQ85" s="19" t="n">
        <x:v>31</x:v>
      </x:c>
      <x:c r="AR85" s="19" t="n">
        <x:v>0</x:v>
      </x:c>
      <x:c r="AS85" s="19" t="n">
        <x:v>6</x:v>
      </x:c>
      <x:c r="AT85" s="19" t="n">
        <x:v>6</x:v>
      </x:c>
    </x:row>
    <x:row r="86" ht="25" customHeight="1">
      <x:c r="A86" s="18" t="str">
        <x:v>hourly_balanced</x:v>
      </x:c>
      <x:c r="B86" s="18" t="n">
        <x:v>19</x:v>
      </x:c>
      <x:c r="C86" s="18" t="n">
        <x:v>30</x:v>
      </x:c>
      <x:c r="D86" s="18" t="n">
        <x:v>5087</x:v>
      </x:c>
      <x:c r="E86" s="18" t="n">
        <x:v>5087</x:v>
      </x:c>
      <x:c r="F86" s="18" t="n">
        <x:v>3048</x:v>
      </x:c>
      <x:c r="G86" s="18" t="n">
        <x:v>26315</x:v>
      </x:c>
      <x:c r="H86" s="18" t="n">
        <x:v>135</x:v>
      </x:c>
      <x:c r="I86" s="20" t="n">
        <x:v>543.9042441148194</x:v>
      </x:c>
      <x:c r="J86" s="20" t="n">
        <x:v>99.35</x:v>
      </x:c>
      <x:c r="K86" s="18" t="n">
        <x:v>3687</x:v>
      </x:c>
      <x:c r="L86" s="18" t="n">
        <x:v>3253</x:v>
      </x:c>
      <x:c r="M86" s="18" t="n">
        <x:v>240</x:v>
      </x:c>
      <x:c r="N86" s="18" t="n">
        <x:v>5</x:v>
      </x:c>
      <x:c r="O86" s="22" t="n">
        <x:v>6.83829016220003e+168</x:v>
      </x:c>
      <x:c r="P86" s="22" t="n">
        <x:v>6.83829016220003e+168</x:v>
      </x:c>
      <x:c r="Q86" s="22" t="n">
        <x:v>7.978005189233235e+167</x:v>
      </x:c>
      <x:c r="R86" s="22" t="n">
        <x:v>4.5244863029178825e+169</x:v>
      </x:c>
      <x:c r="S86" s="24" t="n">
        <x:v>0.8</x:v>
      </x:c>
      <x:c r="T86" s="20" t="n">
        <x:v>70.64</x:v>
      </x:c>
      <x:c r="U86" s="22" t="n">
        <x:v>3.124110578405723e+151</x:v>
      </x:c>
      <x:c r="V86" s="22" t="n">
        <x:v>4.173761126533834e+151</x:v>
      </x:c>
      <x:c r="W86" s="22" t="n">
        <x:v>3.7905453299522003e+152</x:v>
      </x:c>
      <x:c r="X86" s="22" t="n">
        <x:v>9.244653485959235e+212</x:v>
      </x:c>
      <x:c r="Y86" s="22" t="n">
        <x:v>1.824727462969274e+211</x:v>
      </x:c>
      <x:c r="Z86" s="22" t="n">
        <x:v>1.2371166781927296e+213</x:v>
      </x:c>
      <x:c r="AA86" s="22" t="n">
        <x:v>3.258079736393253e+211</x:v>
      </x:c>
      <x:c r="AB86" s="22" t="n">
        <x:v>2.1615820267886197e+213</x:v>
      </x:c>
      <x:c r="AC86" s="22" t="n">
        <x:v>5.082807199362598e+211</x:v>
      </x:c>
      <x:c r="AD86" s="18" t="n">
        <x:v>3687</x:v>
      </x:c>
      <x:c r="AE86" s="18" t="n">
        <x:v>3687</x:v>
      </x:c>
      <x:c r="AF86" s="18" t="n">
        <x:v>3676</x:v>
      </x:c>
      <x:c r="AG86" s="18" t="n">
        <x:v>3674</x:v>
      </x:c>
      <x:c r="AH86" s="18" t="n">
        <x:v>3253</x:v>
      </x:c>
      <x:c r="AI86" s="18" t="n">
        <x:v>3253</x:v>
      </x:c>
      <x:c r="AJ86" s="18" t="n">
        <x:v>3242</x:v>
      </x:c>
      <x:c r="AK86" s="18" t="n">
        <x:v>3240</x:v>
      </x:c>
      <x:c r="AL86" s="22" t="n">
        <x:v>4.725650990747277e+171</x:v>
      </x:c>
      <x:c r="AM86" s="22" t="n">
        <x:v>7.5553814022873e+139</x:v>
      </x:c>
      <x:c r="AN86" s="22" t="n">
        <x:v>4.00292967923818e+211</x:v>
      </x:c>
      <x:c r="AO86" s="22" t="n">
        <x:v>3.335774732698481e+210</x:v>
      </x:c>
      <x:c r="AP86" s="22" t="n">
        <x:v>5.025344187436499e+150</x:v>
      </x:c>
      <x:c r="AQ86" s="18" t="n">
        <x:v>34</x:v>
      </x:c>
      <x:c r="AR86" s="18" t="n">
        <x:v>0</x:v>
      </x:c>
      <x:c r="AS86" s="18" t="n">
        <x:v>6</x:v>
      </x:c>
      <x:c r="AT86" s="18" t="n">
        <x:v>6</x:v>
      </x:c>
    </x:row>
    <x:row r="87" ht="25" customHeight="1">
      <x:c r="A87" s="19" t="str">
        <x:v>hourly_balanced</x:v>
      </x:c>
      <x:c r="B87" s="19" t="n">
        <x:v>20</x:v>
      </x:c>
      <x:c r="C87" s="19" t="n">
        <x:v>30</x:v>
      </x:c>
      <x:c r="D87" s="19" t="n">
        <x:v>5090</x:v>
      </x:c>
      <x:c r="E87" s="19" t="n">
        <x:v>5090</x:v>
      </x:c>
      <x:c r="F87" s="19" t="n">
        <x:v>3050</x:v>
      </x:c>
      <x:c r="G87" s="19" t="n">
        <x:v>26338</x:v>
      </x:c>
      <x:c r="H87" s="19" t="n">
        <x:v>132</x:v>
      </x:c>
      <x:c r="I87" s="21" t="n">
        <x:v>536.817194591742</x:v>
      </x:c>
      <x:c r="J87" s="21" t="n">
        <x:v>95.35</x:v>
      </x:c>
      <x:c r="K87" s="19" t="n">
        <x:v>3689</x:v>
      </x:c>
      <x:c r="L87" s="19" t="n">
        <x:v>3253</x:v>
      </x:c>
      <x:c r="M87" s="19" t="n">
        <x:v>240</x:v>
      </x:c>
      <x:c r="N87" s="19" t="n">
        <x:v>4</x:v>
      </x:c>
      <x:c r="O87" s="23" t="n">
        <x:v>7.767087674294352e+168</x:v>
      </x:c>
      <x:c r="P87" s="23" t="n">
        <x:v>7.767087674294352e+168</x:v>
      </x:c>
      <x:c r="Q87" s="23" t="n">
        <x:v>9.061602286676592e+167</x:v>
      </x:c>
      <x:c r="R87" s="23" t="n">
        <x:v>5.1397408170029285e+169</x:v>
      </x:c>
      <x:c r="S87" s="25" t="n">
        <x:v>0.8</x:v>
      </x:c>
      <x:c r="T87" s="21" t="n">
        <x:v>70.65</x:v>
      </x:c>
      <x:c r="U87" s="23" t="n">
        <x:v>2.1904676450972313e+151</x:v>
      </x:c>
      <x:c r="V87" s="23" t="n">
        <x:v>5.235565957123878e+151</x:v>
      </x:c>
      <x:c r="W87" s="23" t="n">
        <x:v>4.582018395446049e+152</x:v>
      </x:c>
      <x:c r="X87" s="23" t="n">
        <x:v>1.2146192263532706e+213</x:v>
      </x:c>
      <x:c r="Y87" s="23" t="n">
        <x:v>2.3675076766664826e+211</x:v>
      </x:c>
      <x:c r="Z87" s="23" t="n">
        <x:v>1.6091674572716408e+213</x:v>
      </x:c>
      <x:c r="AA87" s="23" t="n">
        <x:v>3.209477754785599e+211</x:v>
      </x:c>
      <x:c r="AB87" s="23" t="n">
        <x:v>2.8237866836249674e+213</x:v>
      </x:c>
      <x:c r="AC87" s="23" t="n">
        <x:v>5.5769854314522455e+211</x:v>
      </x:c>
      <x:c r="AD87" s="19" t="n">
        <x:v>3689</x:v>
      </x:c>
      <x:c r="AE87" s="19" t="n">
        <x:v>3689</x:v>
      </x:c>
      <x:c r="AF87" s="19" t="n">
        <x:v>3678</x:v>
      </x:c>
      <x:c r="AG87" s="19" t="n">
        <x:v>3676</x:v>
      </x:c>
      <x:c r="AH87" s="19" t="n">
        <x:v>3253</x:v>
      </x:c>
      <x:c r="AI87" s="19" t="n">
        <x:v>3253</x:v>
      </x:c>
      <x:c r="AJ87" s="19" t="n">
        <x:v>3242</x:v>
      </x:c>
      <x:c r="AK87" s="19" t="n">
        <x:v>3239</x:v>
      </x:c>
      <x:c r="AL87" s="23" t="n">
        <x:v>5.9529592608566484e+171</x:v>
      </x:c>
      <x:c r="AM87" s="23" t="n">
        <x:v>9.126520131625551e+139</x:v>
      </x:c>
      <x:c r="AN87" s="23" t="n">
        <x:v>5.327899403066159e+211</x:v>
      </x:c>
      <x:c r="AO87" s="23" t="n">
        <x:v>4.439916169221797e+210</x:v>
      </x:c>
      <x:c r="AP87" s="23" t="n">
        <x:v>6.1562627194094466e+150</x:v>
      </x:c>
      <x:c r="AQ87" s="19" t="n">
        <x:v>32</x:v>
      </x:c>
      <x:c r="AR87" s="19" t="n">
        <x:v>0</x:v>
      </x:c>
      <x:c r="AS87" s="19" t="n">
        <x:v>6</x:v>
      </x:c>
      <x:c r="AT87" s="19" t="n">
        <x:v>6</x:v>
      </x:c>
    </x:row>
    <x:row r="88" ht="25" customHeight="1">
      <x:c r="A88" s="18" t="str">
        <x:v>no_purchases</x:v>
      </x:c>
      <x:c r="B88" s="18" t="n">
        <x:v>1</x:v>
      </x:c>
      <x:c r="C88" s="18" t="n">
        <x:v>1</x:v>
      </x:c>
      <x:c r="D88" s="18" t="n">
        <x:v>13</x:v>
      </x:c>
      <x:c r="E88" s="18" t="n">
        <x:v>14</x:v>
      </x:c>
      <x:c r="F88" s="18" t="n">
        <x:v>46</x:v>
      </x:c>
      <x:c r="G88" s="18" t="n">
        <x:v>1793</x:v>
      </x:c>
      <x:c r="H88" s="18" t="n">
        <x:v>319</x:v>
      </x:c>
      <x:c r="I88" s="20" t="n">
        <x:v>71.28947507285028</x:v>
      </x:c>
      <x:c r="J88" s="20" t="n">
        <x:v>4.35</x:v>
      </x:c>
      <x:c r="K88" s="18" t="n">
        <x:v>0</x:v>
      </x:c>
      <x:c r="L88" s="18" t="n">
        <x:v>0</x:v>
      </x:c>
      <x:c r="M88" s="18" t="n">
        <x:v>8</x:v>
      </x:c>
      <x:c r="N88" s="18" t="n">
        <x:v>2</x:v>
      </x:c>
      <x:c r="O88" s="22" t="n">
        <x:v>234.50556172930098</x:v>
      </x:c>
      <x:c r="P88" s="22" t="n">
        <x:v>183.40725193221778</x:v>
      </x:c>
      <x:c r="Q88" s="22" t="n">
        <x:v>27.358982201751775</x:v>
      </x:c>
      <x:c r="R88" s="22" t="n">
        <x:v>28.042956756795572</x:v>
      </x:c>
      <x:c r="S88" s="24" t="n">
        <x:v>0.050000000000000044</x:v>
      </x:c>
      <x:c r="T88" s="20" t="n">
        <x:v>1.5</x:v>
      </x:c>
      <x:c r="U88" s="22" t="n">
        <x:v>2514.753858074182</x:v>
      </x:c>
      <x:c r="V88" s="22" t="n">
        <x:v>7379.442174196206</x:v>
      </x:c>
      <x:c r="W88" s="22" t="n">
        <x:v>63635.10530970916</x:v>
      </x:c>
      <x:c r="X88" s="22" t="n">
        <x:v>56270.03703030575</x:v>
      </x:c>
      <x:c r="Y88" s="22" t="n">
        <x:v>1341.2862929903677</x:v>
      </x:c>
      <x:c r="Z88" s="22" t="n">
        <x:v>0</x:v>
      </x:c>
      <x:c r="AA88" s="22" t="n">
        <x:v>0</x:v>
      </x:c>
      <x:c r="AB88" s="22" t="n">
        <x:v>56270.03703030575</x:v>
      </x:c>
      <x:c r="AC88" s="22" t="n">
        <x:v>1341.2862929903677</x:v>
      </x:c>
      <x:c r="AD88" s="18" t="n">
        <x:v>0</x:v>
      </x:c>
      <x:c r="AE88" s="18" t="n">
        <x:v>0</x:v>
      </x:c>
      <x:c r="AF88" s="18" t="n">
        <x:v>0</x:v>
      </x:c>
      <x:c r="AG88" s="18" t="n">
        <x:v>0</x:v>
      </x:c>
      <x:c r="AH88" s="18" t="n">
        <x:v>0</x:v>
      </x:c>
      <x:c r="AI88" s="18" t="n">
        <x:v>0</x:v>
      </x:c>
      <x:c r="AJ88" s="18" t="n">
        <x:v>0</x:v>
      </x:c>
      <x:c r="AK88" s="18" t="n">
        <x:v>0</x:v>
      </x:c>
      <x:c r="AL88" s="22" t="n">
        <x:v>120.87216560731102</x:v>
      </x:c>
      <x:c r="AM88" s="22" t="n">
        <x:v>12.77457744927083</x:v>
      </x:c>
      <x:c r="AN88" s="22" t="n">
        <x:v>37.66114052065201</x:v>
      </x:c>
      <x:c r="AO88" s="22" t="n">
        <x:v>3.1384283767210026</x:v>
      </x:c>
      <x:c r="AP88" s="22" t="n">
        <x:v>40.53944860129482</x:v>
      </x:c>
      <x:c r="AQ88" s="18" t="n">
        <x:v>219</x:v>
      </x:c>
      <x:c r="AR88" s="18" t="n">
        <x:v>43</x:v>
      </x:c>
      <x:c r="AS88" s="18" t="n">
        <x:v>0</x:v>
      </x:c>
      <x:c r="AT88" s="18" t="n">
        <x:v>0</x:v>
      </x:c>
    </x:row>
    <x:row r="89" ht="25" customHeight="1">
      <x:c r="A89" s="19" t="str">
        <x:v>no_purchases</x:v>
      </x:c>
      <x:c r="B89" s="19" t="n">
        <x:v>2</x:v>
      </x:c>
      <x:c r="C89" s="19" t="n">
        <x:v>1</x:v>
      </x:c>
      <x:c r="D89" s="19" t="n">
        <x:v>13</x:v>
      </x:c>
      <x:c r="E89" s="19" t="n">
        <x:v>14</x:v>
      </x:c>
      <x:c r="F89" s="19" t="n">
        <x:v>46</x:v>
      </x:c>
      <x:c r="G89" s="19" t="n">
        <x:v>1781</x:v>
      </x:c>
      <x:c r="H89" s="19" t="n">
        <x:v>318</x:v>
      </x:c>
      <x:c r="I89" s="21" t="n">
        <x:v>72.4824346669339</x:v>
      </x:c>
      <x:c r="J89" s="21" t="n">
        <x:v>4.35</x:v>
      </x:c>
      <x:c r="K89" s="19" t="n">
        <x:v>0</x:v>
      </x:c>
      <x:c r="L89" s="19" t="n">
        <x:v>0</x:v>
      </x:c>
      <x:c r="M89" s="19" t="n">
        <x:v>8</x:v>
      </x:c>
      <x:c r="N89" s="19" t="n">
        <x:v>2</x:v>
      </x:c>
      <x:c r="O89" s="23" t="n">
        <x:v>234.50556172930098</x:v>
      </x:c>
      <x:c r="P89" s="23" t="n">
        <x:v>196.18182938148868</x:v>
      </x:c>
      <x:c r="Q89" s="23" t="n">
        <x:v>27.358982201751775</x:v>
      </x:c>
      <x:c r="R89" s="23" t="n">
        <x:v>28.042956756795572</x:v>
      </x:c>
      <x:c r="S89" s="25" t="n">
        <x:v>0.050000000000000044</x:v>
      </x:c>
      <x:c r="T89" s="21" t="n">
        <x:v>1.5</x:v>
      </x:c>
      <x:c r="U89" s="23" t="n">
        <x:v>2284.1258204045007</x:v>
      </x:c>
      <x:c r="V89" s="23" t="n">
        <x:v>7379.442174196206</x:v>
      </x:c>
      <x:c r="W89" s="23" t="n">
        <x:v>63404.47727203942</x:v>
      </x:c>
      <x:c r="X89" s="23" t="n">
        <x:v>56087.783291163</x:v>
      </x:c>
      <x:c r="Y89" s="23" t="n">
        <x:v>1297.4764157102923</x:v>
      </x:c>
      <x:c r="Z89" s="23" t="n">
        <x:v>0</x:v>
      </x:c>
      <x:c r="AA89" s="23" t="n">
        <x:v>0</x:v>
      </x:c>
      <x:c r="AB89" s="23" t="n">
        <x:v>56087.783291163</x:v>
      </x:c>
      <x:c r="AC89" s="23" t="n">
        <x:v>1297.4764157102923</x:v>
      </x:c>
      <x:c r="AD89" s="19" t="n">
        <x:v>0</x:v>
      </x:c>
      <x:c r="AE89" s="19" t="n">
        <x:v>0</x:v>
      </x:c>
      <x:c r="AF89" s="19" t="n">
        <x:v>0</x:v>
      </x:c>
      <x:c r="AG89" s="19" t="n">
        <x:v>0</x:v>
      </x:c>
      <x:c r="AH89" s="19" t="n">
        <x:v>0</x:v>
      </x:c>
      <x:c r="AI89" s="19" t="n">
        <x:v>0</x:v>
      </x:c>
      <x:c r="AJ89" s="19" t="n">
        <x:v>0</x:v>
      </x:c>
      <x:c r="AK89" s="19" t="n">
        <x:v>0</x:v>
      </x:c>
      <x:c r="AL89" s="23" t="n">
        <x:v>120.87216560731102</x:v>
      </x:c>
      <x:c r="AM89" s="23" t="n">
        <x:v>12.77457744927083</x:v>
      </x:c>
      <x:c r="AN89" s="23" t="n">
        <x:v>37.66114052065201</x:v>
      </x:c>
      <x:c r="AO89" s="23" t="n">
        <x:v>3.1384283767210026</x:v>
      </x:c>
      <x:c r="AP89" s="23" t="n">
        <x:v>40.53944860129482</x:v>
      </x:c>
      <x:c r="AQ89" s="19" t="n">
        <x:v>218</x:v>
      </x:c>
      <x:c r="AR89" s="19" t="n">
        <x:v>43</x:v>
      </x:c>
      <x:c r="AS89" s="19" t="n">
        <x:v>-1</x:v>
      </x:c>
      <x:c r="AT89" s="19" t="n">
        <x:v>0</x:v>
      </x:c>
    </x:row>
    <x:row r="90" ht="25" customHeight="1">
      <x:c r="A90" s="18" t="str">
        <x:v>no_purchases</x:v>
      </x:c>
      <x:c r="B90" s="18" t="n">
        <x:v>3</x:v>
      </x:c>
      <x:c r="C90" s="18" t="n">
        <x:v>1</x:v>
      </x:c>
      <x:c r="D90" s="18" t="n">
        <x:v>13</x:v>
      </x:c>
      <x:c r="E90" s="18" t="n">
        <x:v>13</x:v>
      </x:c>
      <x:c r="F90" s="18" t="n">
        <x:v>46</x:v>
      </x:c>
      <x:c r="G90" s="18" t="n">
        <x:v>1847</x:v>
      </x:c>
      <x:c r="H90" s="18" t="n">
        <x:v>299</x:v>
      </x:c>
      <x:c r="I90" s="20" t="n">
        <x:v>70.1518242356967</x:v>
      </x:c>
      <x:c r="J90" s="20" t="n">
        <x:v>4.35</x:v>
      </x:c>
      <x:c r="K90" s="18" t="n">
        <x:v>0</x:v>
      </x:c>
      <x:c r="L90" s="18" t="n">
        <x:v>0</x:v>
      </x:c>
      <x:c r="M90" s="18" t="n">
        <x:v>8</x:v>
      </x:c>
      <x:c r="N90" s="18" t="n">
        <x:v>2</x:v>
      </x:c>
      <x:c r="O90" s="22" t="n">
        <x:v>234.50556172930098</x:v>
      </x:c>
      <x:c r="P90" s="22" t="n">
        <x:v>12.65973081449896</x:v>
      </x:c>
      <x:c r="Q90" s="22" t="n">
        <x:v>27.358982201751775</x:v>
      </x:c>
      <x:c r="R90" s="22" t="n">
        <x:v>28.042956756795572</x:v>
      </x:c>
      <x:c r="S90" s="24" t="n">
        <x:v>0.050000000000000044</x:v>
      </x:c>
      <x:c r="T90" s="20" t="n">
        <x:v>1.5</x:v>
      </x:c>
      <x:c r="U90" s="22" t="n">
        <x:v>719.5272033948127</x:v>
      </x:c>
      <x:c r="V90" s="22" t="n">
        <x:v>7379.442174196206</x:v>
      </x:c>
      <x:c r="W90" s="22" t="n">
        <x:v>61839.8786550297</x:v>
      </x:c>
      <x:c r="X90" s="22" t="n">
        <x:v>53343.2098858824</x:v>
      </x:c>
      <x:c r="Y90" s="22" t="n">
        <x:v>1243.8232561644998</x:v>
      </x:c>
      <x:c r="Z90" s="22" t="n">
        <x:v>0</x:v>
      </x:c>
      <x:c r="AA90" s="22" t="n">
        <x:v>0</x:v>
      </x:c>
      <x:c r="AB90" s="22" t="n">
        <x:v>53343.2098858824</x:v>
      </x:c>
      <x:c r="AC90" s="22" t="n">
        <x:v>1243.8232561644998</x:v>
      </x:c>
      <x:c r="AD90" s="18" t="n">
        <x:v>0</x:v>
      </x:c>
      <x:c r="AE90" s="18" t="n">
        <x:v>0</x:v>
      </x:c>
      <x:c r="AF90" s="18" t="n">
        <x:v>0</x:v>
      </x:c>
      <x:c r="AG90" s="18" t="n">
        <x:v>0</x:v>
      </x:c>
      <x:c r="AH90" s="18" t="n">
        <x:v>0</x:v>
      </x:c>
      <x:c r="AI90" s="18" t="n">
        <x:v>0</x:v>
      </x:c>
      <x:c r="AJ90" s="18" t="n">
        <x:v>0</x:v>
      </x:c>
      <x:c r="AK90" s="18" t="n">
        <x:v>0</x:v>
      </x:c>
      <x:c r="AL90" s="22" t="n">
        <x:v>120.87216560731102</x:v>
      </x:c>
      <x:c r="AM90" s="22" t="n">
        <x:v>12.77457744927083</x:v>
      </x:c>
      <x:c r="AN90" s="22" t="n">
        <x:v>37.66114052065201</x:v>
      </x:c>
      <x:c r="AO90" s="22" t="n">
        <x:v>3.1384283767210026</x:v>
      </x:c>
      <x:c r="AP90" s="22" t="n">
        <x:v>40.53944860129482</x:v>
      </x:c>
      <x:c r="AQ90" s="18" t="n">
        <x:v>230</x:v>
      </x:c>
      <x:c r="AR90" s="18" t="n">
        <x:v>38</x:v>
      </x:c>
      <x:c r="AS90" s="18" t="n">
        <x:v>1</x:v>
      </x:c>
      <x:c r="AT90" s="18" t="n">
        <x:v>0</x:v>
      </x:c>
    </x:row>
    <x:row r="91" ht="25" customHeight="1">
      <x:c r="A91" s="19" t="str">
        <x:v>no_purchases</x:v>
      </x:c>
      <x:c r="B91" s="19" t="n">
        <x:v>4</x:v>
      </x:c>
      <x:c r="C91" s="19" t="n">
        <x:v>1</x:v>
      </x:c>
      <x:c r="D91" s="19" t="n">
        <x:v>13</x:v>
      </x:c>
      <x:c r="E91" s="19" t="n">
        <x:v>14</x:v>
      </x:c>
      <x:c r="F91" s="19" t="n">
        <x:v>46</x:v>
      </x:c>
      <x:c r="G91" s="19" t="n">
        <x:v>1779</x:v>
      </x:c>
      <x:c r="H91" s="19" t="n">
        <x:v>322</x:v>
      </x:c>
      <x:c r="I91" s="21" t="n">
        <x:v>72.02626849660055</x:v>
      </x:c>
      <x:c r="J91" s="21" t="n">
        <x:v>4.35</x:v>
      </x:c>
      <x:c r="K91" s="19" t="n">
        <x:v>0</x:v>
      </x:c>
      <x:c r="L91" s="19" t="n">
        <x:v>0</x:v>
      </x:c>
      <x:c r="M91" s="19" t="n">
        <x:v>8</x:v>
      </x:c>
      <x:c r="N91" s="19" t="n">
        <x:v>5</x:v>
      </x:c>
      <x:c r="O91" s="23" t="n">
        <x:v>234.50556172930098</x:v>
      </x:c>
      <x:c r="P91" s="23" t="n">
        <x:v>81.21063233805108</x:v>
      </x:c>
      <x:c r="Q91" s="23" t="n">
        <x:v>27.358982201751775</x:v>
      </x:c>
      <x:c r="R91" s="23" t="n">
        <x:v>28.042956756795572</x:v>
      </x:c>
      <x:c r="S91" s="25" t="n">
        <x:v>0.050000000000000044</x:v>
      </x:c>
      <x:c r="T91" s="21" t="n">
        <x:v>1.5</x:v>
      </x:c>
      <x:c r="U91" s="23" t="n">
        <x:v>3041.6720164719663</x:v>
      </x:c>
      <x:c r="V91" s="23" t="n">
        <x:v>7379.442174196206</x:v>
      </x:c>
      <x:c r="W91" s="23" t="n">
        <x:v>64162.02346810688</x:v>
      </x:c>
      <x:c r="X91" s="23" t="n">
        <x:v>57027.76762516024</x:v>
      </x:c>
      <x:c r="Y91" s="23" t="n">
        <x:v>1342.9267607445381</x:v>
      </x:c>
      <x:c r="Z91" s="23" t="n">
        <x:v>0</x:v>
      </x:c>
      <x:c r="AA91" s="23" t="n">
        <x:v>0</x:v>
      </x:c>
      <x:c r="AB91" s="23" t="n">
        <x:v>57027.76762516024</x:v>
      </x:c>
      <x:c r="AC91" s="23" t="n">
        <x:v>1342.9267607445381</x:v>
      </x:c>
      <x:c r="AD91" s="19" t="n">
        <x:v>0</x:v>
      </x:c>
      <x:c r="AE91" s="19" t="n">
        <x:v>0</x:v>
      </x:c>
      <x:c r="AF91" s="19" t="n">
        <x:v>0</x:v>
      </x:c>
      <x:c r="AG91" s="19" t="n">
        <x:v>0</x:v>
      </x:c>
      <x:c r="AH91" s="19" t="n">
        <x:v>0</x:v>
      </x:c>
      <x:c r="AI91" s="19" t="n">
        <x:v>0</x:v>
      </x:c>
      <x:c r="AJ91" s="19" t="n">
        <x:v>0</x:v>
      </x:c>
      <x:c r="AK91" s="19" t="n">
        <x:v>0</x:v>
      </x:c>
      <x:c r="AL91" s="23" t="n">
        <x:v>120.87216560731102</x:v>
      </x:c>
      <x:c r="AM91" s="23" t="n">
        <x:v>12.77457744927083</x:v>
      </x:c>
      <x:c r="AN91" s="23" t="n">
        <x:v>37.66114052065201</x:v>
      </x:c>
      <x:c r="AO91" s="23" t="n">
        <x:v>3.1384283767210026</x:v>
      </x:c>
      <x:c r="AP91" s="23" t="n">
        <x:v>40.53944860129482</x:v>
      </x:c>
      <x:c r="AQ91" s="19" t="n">
        <x:v>220</x:v>
      </x:c>
      <x:c r="AR91" s="19" t="n">
        <x:v>43</x:v>
      </x:c>
      <x:c r="AS91" s="19" t="n">
        <x:v>0</x:v>
      </x:c>
      <x:c r="AT91" s="19" t="n">
        <x:v>0</x:v>
      </x:c>
    </x:row>
    <x:row r="92" ht="25" customHeight="1">
      <x:c r="A92" s="18" t="str">
        <x:v>no_purchases</x:v>
      </x:c>
      <x:c r="B92" s="18" t="n">
        <x:v>5</x:v>
      </x:c>
      <x:c r="C92" s="18" t="n">
        <x:v>1</x:v>
      </x:c>
      <x:c r="D92" s="18" t="n">
        <x:v>12</x:v>
      </x:c>
      <x:c r="E92" s="18" t="n">
        <x:v>14</x:v>
      </x:c>
      <x:c r="F92" s="18" t="n">
        <x:v>46</x:v>
      </x:c>
      <x:c r="G92" s="18" t="n">
        <x:v>1791</x:v>
      </x:c>
      <x:c r="H92" s="18" t="n">
        <x:v>314</x:v>
      </x:c>
      <x:c r="I92" s="20" t="n">
        <x:v>72.18592068151901</x:v>
      </x:c>
      <x:c r="J92" s="20" t="n">
        <x:v>4.35</x:v>
      </x:c>
      <x:c r="K92" s="18" t="n">
        <x:v>0</x:v>
      </x:c>
      <x:c r="L92" s="18" t="n">
        <x:v>0</x:v>
      </x:c>
      <x:c r="M92" s="18" t="n">
        <x:v>8</x:v>
      </x:c>
      <x:c r="N92" s="18" t="n">
        <x:v>4</x:v>
      </x:c>
      <x:c r="O92" s="22" t="n">
        <x:v>234.50556172930098</x:v>
      </x:c>
      <x:c r="P92" s="22" t="n">
        <x:v>126.55138610166006</x:v>
      </x:c>
      <x:c r="Q92" s="22" t="n">
        <x:v>27.358982201751775</x:v>
      </x:c>
      <x:c r="R92" s="22" t="n">
        <x:v>28.042956756795572</x:v>
      </x:c>
      <x:c r="S92" s="24" t="n">
        <x:v>0.050000000000000044</x:v>
      </x:c>
      <x:c r="T92" s="20" t="n">
        <x:v>1.5</x:v>
      </x:c>
      <x:c r="U92" s="22" t="n">
        <x:v>2882.3196266046334</x:v>
      </x:c>
      <x:c r="V92" s="22" t="n">
        <x:v>7379.442174196206</x:v>
      </x:c>
      <x:c r="W92" s="22" t="n">
        <x:v>64002.67107823961</x:v>
      </x:c>
      <x:c r="X92" s="22" t="n">
        <x:v>56645.52666749593</x:v>
      </x:c>
      <x:c r="Y92" s="22" t="n">
        <x:v>1340.657695609339</x:v>
      </x:c>
      <x:c r="Z92" s="22" t="n">
        <x:v>0</x:v>
      </x:c>
      <x:c r="AA92" s="22" t="n">
        <x:v>0</x:v>
      </x:c>
      <x:c r="AB92" s="22" t="n">
        <x:v>56645.52666749593</x:v>
      </x:c>
      <x:c r="AC92" s="22" t="n">
        <x:v>1340.657695609339</x:v>
      </x:c>
      <x:c r="AD92" s="18" t="n">
        <x:v>0</x:v>
      </x:c>
      <x:c r="AE92" s="18" t="n">
        <x:v>0</x:v>
      </x:c>
      <x:c r="AF92" s="18" t="n">
        <x:v>0</x:v>
      </x:c>
      <x:c r="AG92" s="18" t="n">
        <x:v>0</x:v>
      </x:c>
      <x:c r="AH92" s="18" t="n">
        <x:v>0</x:v>
      </x:c>
      <x:c r="AI92" s="18" t="n">
        <x:v>0</x:v>
      </x:c>
      <x:c r="AJ92" s="18" t="n">
        <x:v>0</x:v>
      </x:c>
      <x:c r="AK92" s="18" t="n">
        <x:v>0</x:v>
      </x:c>
      <x:c r="AL92" s="22" t="n">
        <x:v>111.91867185862138</x:v>
      </x:c>
      <x:c r="AM92" s="22" t="n">
        <x:v>11.9949084030712</x:v>
      </x:c>
      <x:c r="AN92" s="22" t="n">
        <x:v>34.23740047332002</x:v>
      </x:c>
      <x:c r="AO92" s="22" t="n">
        <x:v>2.853116706110002</x:v>
      </x:c>
      <x:c r="AP92" s="22" t="n">
        <x:v>37.887335141397024</x:v>
      </x:c>
      <x:c r="AQ92" s="18" t="n">
        <x:v>229</x:v>
      </x:c>
      <x:c r="AR92" s="18" t="n">
        <x:v>39</x:v>
      </x:c>
      <x:c r="AS92" s="18" t="n">
        <x:v>-1</x:v>
      </x:c>
      <x:c r="AT92" s="18" t="n">
        <x:v>0</x:v>
      </x:c>
    </x:row>
    <x:row r="93" ht="25" customHeight="1">
      <x:c r="A93" s="19" t="str">
        <x:v>no_purchases</x:v>
      </x:c>
      <x:c r="B93" s="19" t="n">
        <x:v>6</x:v>
      </x:c>
      <x:c r="C93" s="19" t="n">
        <x:v>1</x:v>
      </x:c>
      <x:c r="D93" s="19" t="n">
        <x:v>13</x:v>
      </x:c>
      <x:c r="E93" s="19" t="n">
        <x:v>15</x:v>
      </x:c>
      <x:c r="F93" s="19" t="n">
        <x:v>46</x:v>
      </x:c>
      <x:c r="G93" s="19" t="n">
        <x:v>1811</x:v>
      </x:c>
      <x:c r="H93" s="19" t="n">
        <x:v>313</x:v>
      </x:c>
      <x:c r="I93" s="21" t="n">
        <x:v>487.7096108361093</x:v>
      </x:c>
      <x:c r="J93" s="21" t="n">
        <x:v>4.35</x:v>
      </x:c>
      <x:c r="K93" s="19" t="n">
        <x:v>0</x:v>
      </x:c>
      <x:c r="L93" s="19" t="n">
        <x:v>0</x:v>
      </x:c>
      <x:c r="M93" s="19" t="n">
        <x:v>8</x:v>
      </x:c>
      <x:c r="N93" s="19" t="n">
        <x:v>4</x:v>
      </x:c>
      <x:c r="O93" s="23" t="n">
        <x:v>234.50556172930098</x:v>
      </x:c>
      <x:c r="P93" s="23" t="n">
        <x:v>113.14707596122827</x:v>
      </x:c>
      <x:c r="Q93" s="23" t="n">
        <x:v>27.358982201751775</x:v>
      </x:c>
      <x:c r="R93" s="23" t="n">
        <x:v>28.042956756795572</x:v>
      </x:c>
      <x:c r="S93" s="25" t="n">
        <x:v>0.050000000000000044</x:v>
      </x:c>
      <x:c r="T93" s="21" t="n">
        <x:v>1.5</x:v>
      </x:c>
      <x:c r="U93" s="23" t="n">
        <x:v>2178.059940888583</x:v>
      </x:c>
      <x:c r="V93" s="23" t="n">
        <x:v>7379.442174196206</x:v>
      </x:c>
      <x:c r="W93" s="23" t="n">
        <x:v>63298.41139252349</x:v>
      </x:c>
      <x:c r="X93" s="23" t="n">
        <x:v>55630.027984066895</x:v>
      </x:c>
      <x:c r="Y93" s="23" t="n">
        <x:v>1307.1725586500459</x:v>
      </x:c>
      <x:c r="Z93" s="23" t="n">
        <x:v>0</x:v>
      </x:c>
      <x:c r="AA93" s="23" t="n">
        <x:v>0</x:v>
      </x:c>
      <x:c r="AB93" s="23" t="n">
        <x:v>55630.027984066895</x:v>
      </x:c>
      <x:c r="AC93" s="23" t="n">
        <x:v>1307.1725586500459</x:v>
      </x:c>
      <x:c r="AD93" s="19" t="n">
        <x:v>0</x:v>
      </x:c>
      <x:c r="AE93" s="19" t="n">
        <x:v>0</x:v>
      </x:c>
      <x:c r="AF93" s="19" t="n">
        <x:v>0</x:v>
      </x:c>
      <x:c r="AG93" s="19" t="n">
        <x:v>0</x:v>
      </x:c>
      <x:c r="AH93" s="19" t="n">
        <x:v>0</x:v>
      </x:c>
      <x:c r="AI93" s="19" t="n">
        <x:v>0</x:v>
      </x:c>
      <x:c r="AJ93" s="19" t="n">
        <x:v>0</x:v>
      </x:c>
      <x:c r="AK93" s="19" t="n">
        <x:v>0</x:v>
      </x:c>
      <x:c r="AL93" s="23" t="n">
        <x:v>120.87216560731102</x:v>
      </x:c>
      <x:c r="AM93" s="23" t="n">
        <x:v>12.77457744927083</x:v>
      </x:c>
      <x:c r="AN93" s="23" t="n">
        <x:v>37.66114052065201</x:v>
      </x:c>
      <x:c r="AO93" s="23" t="n">
        <x:v>3.1384283767210026</x:v>
      </x:c>
      <x:c r="AP93" s="23" t="n">
        <x:v>40.53944860129482</x:v>
      </x:c>
      <x:c r="AQ93" s="19" t="n">
        <x:v>219</x:v>
      </x:c>
      <x:c r="AR93" s="19" t="n">
        <x:v>42</x:v>
      </x:c>
      <x:c r="AS93" s="19" t="n">
        <x:v>0</x:v>
      </x:c>
      <x:c r="AT93" s="19" t="n">
        <x:v>1</x:v>
      </x:c>
    </x:row>
    <x:row r="94" ht="25" customHeight="1">
      <x:c r="A94" s="18" t="str">
        <x:v>no_purchases</x:v>
      </x:c>
      <x:c r="B94" s="18" t="n">
        <x:v>7</x:v>
      </x:c>
      <x:c r="C94" s="18" t="n">
        <x:v>1</x:v>
      </x:c>
      <x:c r="D94" s="18" t="n">
        <x:v>13</x:v>
      </x:c>
      <x:c r="E94" s="18" t="n">
        <x:v>14</x:v>
      </x:c>
      <x:c r="F94" s="18" t="n">
        <x:v>46</x:v>
      </x:c>
      <x:c r="G94" s="18" t="n">
        <x:v>1786</x:v>
      </x:c>
      <x:c r="H94" s="18" t="n">
        <x:v>316</x:v>
      </x:c>
      <x:c r="I94" s="20" t="n">
        <x:v>71.80697217380873</x:v>
      </x:c>
      <x:c r="J94" s="20" t="n">
        <x:v>4.35</x:v>
      </x:c>
      <x:c r="K94" s="18" t="n">
        <x:v>0</x:v>
      </x:c>
      <x:c r="L94" s="18" t="n">
        <x:v>0</x:v>
      </x:c>
      <x:c r="M94" s="18" t="n">
        <x:v>8</x:v>
      </x:c>
      <x:c r="N94" s="18" t="n">
        <x:v>1</x:v>
      </x:c>
      <x:c r="O94" s="22" t="n">
        <x:v>234.50556172930098</x:v>
      </x:c>
      <x:c r="P94" s="22" t="n">
        <x:v>208.95640683075945</x:v>
      </x:c>
      <x:c r="Q94" s="22" t="n">
        <x:v>27.358982201751775</x:v>
      </x:c>
      <x:c r="R94" s="22" t="n">
        <x:v>28.042956756795572</x:v>
      </x:c>
      <x:c r="S94" s="24" t="n">
        <x:v>0.050000000000000044</x:v>
      </x:c>
      <x:c r="T94" s="20" t="n">
        <x:v>1.5</x:v>
      </x:c>
      <x:c r="U94" s="22" t="n">
        <x:v>1650.7469304401218</x:v>
      </x:c>
      <x:c r="V94" s="22" t="n">
        <x:v>7379.442174196206</x:v>
      </x:c>
      <x:c r="W94" s="22" t="n">
        <x:v>62771.09838207502</x:v>
      </x:c>
      <x:c r="X94" s="22" t="n">
        <x:v>55254.65025921674</x:v>
      </x:c>
      <x:c r="Y94" s="22" t="n">
        <x:v>1310.2274481677987</x:v>
      </x:c>
      <x:c r="Z94" s="22" t="n">
        <x:v>0</x:v>
      </x:c>
      <x:c r="AA94" s="22" t="n">
        <x:v>0</x:v>
      </x:c>
      <x:c r="AB94" s="22" t="n">
        <x:v>55254.65025921674</x:v>
      </x:c>
      <x:c r="AC94" s="22" t="n">
        <x:v>1310.2274481677987</x:v>
      </x:c>
      <x:c r="AD94" s="18" t="n">
        <x:v>0</x:v>
      </x:c>
      <x:c r="AE94" s="18" t="n">
        <x:v>0</x:v>
      </x:c>
      <x:c r="AF94" s="18" t="n">
        <x:v>0</x:v>
      </x:c>
      <x:c r="AG94" s="18" t="n">
        <x:v>0</x:v>
      </x:c>
      <x:c r="AH94" s="18" t="n">
        <x:v>0</x:v>
      </x:c>
      <x:c r="AI94" s="18" t="n">
        <x:v>0</x:v>
      </x:c>
      <x:c r="AJ94" s="18" t="n">
        <x:v>0</x:v>
      </x:c>
      <x:c r="AK94" s="18" t="n">
        <x:v>0</x:v>
      </x:c>
      <x:c r="AL94" s="22" t="n">
        <x:v>120.87216560731102</x:v>
      </x:c>
      <x:c r="AM94" s="22" t="n">
        <x:v>12.77457744927083</x:v>
      </x:c>
      <x:c r="AN94" s="22" t="n">
        <x:v>37.66114052065201</x:v>
      </x:c>
      <x:c r="AO94" s="22" t="n">
        <x:v>3.1384283767210026</x:v>
      </x:c>
      <x:c r="AP94" s="22" t="n">
        <x:v>40.53944860129482</x:v>
      </x:c>
      <x:c r="AQ94" s="18" t="n">
        <x:v>217</x:v>
      </x:c>
      <x:c r="AR94" s="18" t="n">
        <x:v>42</x:v>
      </x:c>
      <x:c r="AS94" s="18" t="n">
        <x:v>1</x:v>
      </x:c>
      <x:c r="AT94" s="18" t="n">
        <x:v>1</x:v>
      </x:c>
    </x:row>
    <x:row r="95" ht="25" customHeight="1">
      <x:c r="A95" s="19" t="str">
        <x:v>no_purchases</x:v>
      </x:c>
      <x:c r="B95" s="19" t="n">
        <x:v>8</x:v>
      </x:c>
      <x:c r="C95" s="19" t="n">
        <x:v>1</x:v>
      </x:c>
      <x:c r="D95" s="19" t="n">
        <x:v>14</x:v>
      </x:c>
      <x:c r="E95" s="19" t="n">
        <x:v>14</x:v>
      </x:c>
      <x:c r="F95" s="19" t="n">
        <x:v>46</x:v>
      </x:c>
      <x:c r="G95" s="19" t="n">
        <x:v>1767</x:v>
      </x:c>
      <x:c r="H95" s="19" t="n">
        <x:v>325</x:v>
      </x:c>
      <x:c r="I95" s="21" t="n">
        <x:v>71.20978146152316</x:v>
      </x:c>
      <x:c r="J95" s="21" t="n">
        <x:v>4.35</x:v>
      </x:c>
      <x:c r="K95" s="19" t="n">
        <x:v>0</x:v>
      </x:c>
      <x:c r="L95" s="19" t="n">
        <x:v>0</x:v>
      </x:c>
      <x:c r="M95" s="19" t="n">
        <x:v>8</x:v>
      </x:c>
      <x:c r="N95" s="19" t="n">
        <x:v>1</x:v>
      </x:c>
      <x:c r="O95" s="23" t="n">
        <x:v>234.50556172930098</x:v>
      </x:c>
      <x:c r="P95" s="23" t="n">
        <x:v>39.05452675545734</x:v>
      </x:c>
      <x:c r="Q95" s="23" t="n">
        <x:v>27.358982201751775</x:v>
      </x:c>
      <x:c r="R95" s="23" t="n">
        <x:v>28.042956756795572</x:v>
      </x:c>
      <x:c r="S95" s="25" t="n">
        <x:v>0.050000000000000044</x:v>
      </x:c>
      <x:c r="T95" s="21" t="n">
        <x:v>1.5</x:v>
      </x:c>
      <x:c r="U95" s="23" t="n">
        <x:v>3255.5429546344267</x:v>
      </x:c>
      <x:c r="V95" s="23" t="n">
        <x:v>7379.442174196206</x:v>
      </x:c>
      <x:c r="W95" s="23" t="n">
        <x:v>64375.8944062694</x:v>
      </x:c>
      <x:c r="X95" s="23" t="n">
        <x:v>57489.58658777493</x:v>
      </x:c>
      <x:c r="Y95" s="23" t="n">
        <x:v>1403.5910015875531</x:v>
      </x:c>
      <x:c r="Z95" s="23" t="n">
        <x:v>0</x:v>
      </x:c>
      <x:c r="AA95" s="23" t="n">
        <x:v>0</x:v>
      </x:c>
      <x:c r="AB95" s="23" t="n">
        <x:v>57489.58658777493</x:v>
      </x:c>
      <x:c r="AC95" s="23" t="n">
        <x:v>1403.5910015875531</x:v>
      </x:c>
      <x:c r="AD95" s="19" t="n">
        <x:v>0</x:v>
      </x:c>
      <x:c r="AE95" s="19" t="n">
        <x:v>0</x:v>
      </x:c>
      <x:c r="AF95" s="19" t="n">
        <x:v>0</x:v>
      </x:c>
      <x:c r="AG95" s="19" t="n">
        <x:v>0</x:v>
      </x:c>
      <x:c r="AH95" s="19" t="n">
        <x:v>0</x:v>
      </x:c>
      <x:c r="AI95" s="19" t="n">
        <x:v>0</x:v>
      </x:c>
      <x:c r="AJ95" s="19" t="n">
        <x:v>0</x:v>
      </x:c>
      <x:c r="AK95" s="19" t="n">
        <x:v>0</x:v>
      </x:c>
      <x:c r="AL95" s="23" t="n">
        <x:v>130.54193885589595</x:v>
      </x:c>
      <x:c r="AM95" s="23" t="n">
        <x:v>13.604924983473428</x:v>
      </x:c>
      <x:c r="AN95" s="23" t="n">
        <x:v>41.427254572717224</x:v>
      </x:c>
      <x:c r="AO95" s="23" t="n">
        <x:v>3.4522712143931034</x:v>
      </x:c>
      <x:c r="AP95" s="23" t="n">
        <x:v>43.37721000338547</x:v>
      </x:c>
      <x:c r="AQ95" s="19" t="n">
        <x:v>220</x:v>
      </x:c>
      <x:c r="AR95" s="19" t="n">
        <x:v>43</x:v>
      </x:c>
      <x:c r="AS95" s="19" t="n">
        <x:v>1</x:v>
      </x:c>
      <x:c r="AT95" s="19" t="n">
        <x:v>0</x:v>
      </x:c>
    </x:row>
    <x:row r="96" ht="25" customHeight="1">
      <x:c r="A96" s="18" t="str">
        <x:v>no_purchases</x:v>
      </x:c>
      <x:c r="B96" s="18" t="n">
        <x:v>9</x:v>
      </x:c>
      <x:c r="C96" s="18" t="n">
        <x:v>1</x:v>
      </x:c>
      <x:c r="D96" s="18" t="n">
        <x:v>14</x:v>
      </x:c>
      <x:c r="E96" s="18" t="n">
        <x:v>14</x:v>
      </x:c>
      <x:c r="F96" s="18" t="n">
        <x:v>46</x:v>
      </x:c>
      <x:c r="G96" s="18" t="n">
        <x:v>1779</x:v>
      </x:c>
      <x:c r="H96" s="18" t="n">
        <x:v>321</x:v>
      </x:c>
      <x:c r="I96" s="20" t="n">
        <x:v>72.25907219573668</x:v>
      </x:c>
      <x:c r="J96" s="20" t="n">
        <x:v>4.35</x:v>
      </x:c>
      <x:c r="K96" s="18" t="n">
        <x:v>0</x:v>
      </x:c>
      <x:c r="L96" s="18" t="n">
        <x:v>0</x:v>
      </x:c>
      <x:c r="M96" s="18" t="n">
        <x:v>8</x:v>
      </x:c>
      <x:c r="N96" s="18" t="n">
        <x:v>1</x:v>
      </x:c>
      <x:c r="O96" s="22" t="n">
        <x:v>234.50556172930098</x:v>
      </x:c>
      <x:c r="P96" s="22" t="n">
        <x:v>39.05452675545734</x:v>
      </x:c>
      <x:c r="Q96" s="22" t="n">
        <x:v>27.358982201751775</x:v>
      </x:c>
      <x:c r="R96" s="22" t="n">
        <x:v>28.042956756795572</x:v>
      </x:c>
      <x:c r="S96" s="24" t="n">
        <x:v>0.050000000000000044</x:v>
      </x:c>
      <x:c r="T96" s="20" t="n">
        <x:v>1.5</x:v>
      </x:c>
      <x:c r="U96" s="22" t="n">
        <x:v>2678.683879236705</x:v>
      </x:c>
      <x:c r="V96" s="22" t="n">
        <x:v>7379.442174196206</x:v>
      </x:c>
      <x:c r="W96" s="22" t="n">
        <x:v>63799.03533087169</x:v>
      </x:c>
      <x:c r="X96" s="22" t="n">
        <x:v>56582.28528379408</x:v>
      </x:c>
      <x:c r="Y96" s="22" t="n">
        <x:v>1330.9013956907788</x:v>
      </x:c>
      <x:c r="Z96" s="22" t="n">
        <x:v>0</x:v>
      </x:c>
      <x:c r="AA96" s="22" t="n">
        <x:v>0</x:v>
      </x:c>
      <x:c r="AB96" s="22" t="n">
        <x:v>56582.28528379408</x:v>
      </x:c>
      <x:c r="AC96" s="22" t="n">
        <x:v>1330.9013956907788</x:v>
      </x:c>
      <x:c r="AD96" s="18" t="n">
        <x:v>0</x:v>
      </x:c>
      <x:c r="AE96" s="18" t="n">
        <x:v>0</x:v>
      </x:c>
      <x:c r="AF96" s="18" t="n">
        <x:v>0</x:v>
      </x:c>
      <x:c r="AG96" s="18" t="n">
        <x:v>0</x:v>
      </x:c>
      <x:c r="AH96" s="18" t="n">
        <x:v>0</x:v>
      </x:c>
      <x:c r="AI96" s="18" t="n">
        <x:v>0</x:v>
      </x:c>
      <x:c r="AJ96" s="18" t="n">
        <x:v>0</x:v>
      </x:c>
      <x:c r="AK96" s="18" t="n">
        <x:v>0</x:v>
      </x:c>
      <x:c r="AL96" s="22" t="n">
        <x:v>130.54193885589595</x:v>
      </x:c>
      <x:c r="AM96" s="22" t="n">
        <x:v>13.604924983473428</x:v>
      </x:c>
      <x:c r="AN96" s="22" t="n">
        <x:v>41.427254572717224</x:v>
      </x:c>
      <x:c r="AO96" s="22" t="n">
        <x:v>3.4522712143931034</x:v>
      </x:c>
      <x:c r="AP96" s="22" t="n">
        <x:v>43.37721000338547</x:v>
      </x:c>
      <x:c r="AQ96" s="18" t="n">
        <x:v>218</x:v>
      </x:c>
      <x:c r="AR96" s="18" t="n">
        <x:v>42</x:v>
      </x:c>
      <x:c r="AS96" s="18" t="n">
        <x:v>1</x:v>
      </x:c>
      <x:c r="AT96" s="18" t="n">
        <x:v>0</x:v>
      </x:c>
    </x:row>
    <x:row r="97" ht="25" customHeight="1">
      <x:c r="A97" s="19" t="str">
        <x:v>no_purchases</x:v>
      </x:c>
      <x:c r="B97" s="19" t="n">
        <x:v>10</x:v>
      </x:c>
      <x:c r="C97" s="19" t="n">
        <x:v>1</x:v>
      </x:c>
      <x:c r="D97" s="19" t="n">
        <x:v>14</x:v>
      </x:c>
      <x:c r="E97" s="19" t="n">
        <x:v>15</x:v>
      </x:c>
      <x:c r="F97" s="19" t="n">
        <x:v>46</x:v>
      </x:c>
      <x:c r="G97" s="19" t="n">
        <x:v>1802</x:v>
      </x:c>
      <x:c r="H97" s="19" t="n">
        <x:v>314</x:v>
      </x:c>
      <x:c r="I97" s="21" t="n">
        <x:v>486.1549640556235</x:v>
      </x:c>
      <x:c r="J97" s="21" t="n">
        <x:v>4.35</x:v>
      </x:c>
      <x:c r="K97" s="19" t="n">
        <x:v>0</x:v>
      </x:c>
      <x:c r="L97" s="19" t="n">
        <x:v>0</x:v>
      </x:c>
      <x:c r="M97" s="19" t="n">
        <x:v>8</x:v>
      </x:c>
      <x:c r="N97" s="19" t="n">
        <x:v>3</x:v>
      </x:c>
      <x:c r="O97" s="23" t="n">
        <x:v>234.50556172930098</x:v>
      </x:c>
      <x:c r="P97" s="23" t="n">
        <x:v>152.8760118284605</x:v>
      </x:c>
      <x:c r="Q97" s="23" t="n">
        <x:v>27.358982201751775</x:v>
      </x:c>
      <x:c r="R97" s="23" t="n">
        <x:v>28.042956756795572</x:v>
      </x:c>
      <x:c r="S97" s="25" t="n">
        <x:v>0.050000000000000044</x:v>
      </x:c>
      <x:c r="T97" s="21" t="n">
        <x:v>1.5</x:v>
      </x:c>
      <x:c r="U97" s="23" t="n">
        <x:v>2499.4492982343877</x:v>
      </x:c>
      <x:c r="V97" s="23" t="n">
        <x:v>7379.442174196206</x:v>
      </x:c>
      <x:c r="W97" s="23" t="n">
        <x:v>63619.80074986926</x:v>
      </x:c>
      <x:c r="X97" s="23" t="n">
        <x:v>56198.34306846694</x:v>
      </x:c>
      <x:c r="Y97" s="23" t="n">
        <x:v>1380.8039709977807</x:v>
      </x:c>
      <x:c r="Z97" s="23" t="n">
        <x:v>0</x:v>
      </x:c>
      <x:c r="AA97" s="23" t="n">
        <x:v>0</x:v>
      </x:c>
      <x:c r="AB97" s="23" t="n">
        <x:v>56198.34306846694</x:v>
      </x:c>
      <x:c r="AC97" s="23" t="n">
        <x:v>1380.8039709977807</x:v>
      </x:c>
      <x:c r="AD97" s="19" t="n">
        <x:v>0</x:v>
      </x:c>
      <x:c r="AE97" s="19" t="n">
        <x:v>0</x:v>
      </x:c>
      <x:c r="AF97" s="19" t="n">
        <x:v>0</x:v>
      </x:c>
      <x:c r="AG97" s="19" t="n">
        <x:v>0</x:v>
      </x:c>
      <x:c r="AH97" s="19" t="n">
        <x:v>0</x:v>
      </x:c>
      <x:c r="AI97" s="19" t="n">
        <x:v>0</x:v>
      </x:c>
      <x:c r="AJ97" s="19" t="n">
        <x:v>0</x:v>
      </x:c>
      <x:c r="AK97" s="19" t="n">
        <x:v>0</x:v>
      </x:c>
      <x:c r="AL97" s="23" t="n">
        <x:v>130.54193885589595</x:v>
      </x:c>
      <x:c r="AM97" s="23" t="n">
        <x:v>13.604924983473428</x:v>
      </x:c>
      <x:c r="AN97" s="23" t="n">
        <x:v>41.427254572717224</x:v>
      </x:c>
      <x:c r="AO97" s="23" t="n">
        <x:v>3.4522712143931034</x:v>
      </x:c>
      <x:c r="AP97" s="23" t="n">
        <x:v>43.37721000338547</x:v>
      </x:c>
      <x:c r="AQ97" s="19" t="n">
        <x:v>220</x:v>
      </x:c>
      <x:c r="AR97" s="19" t="n">
        <x:v>42</x:v>
      </x:c>
      <x:c r="AS97" s="19" t="n">
        <x:v>1</x:v>
      </x:c>
      <x:c r="AT97" s="19" t="n">
        <x:v>1</x:v>
      </x:c>
    </x:row>
    <x:row r="98" ht="25" customHeight="1">
      <x:c r="A98" s="18" t="str">
        <x:v>no_purchases</x:v>
      </x:c>
      <x:c r="B98" s="18" t="n">
        <x:v>11</x:v>
      </x:c>
      <x:c r="C98" s="18" t="n">
        <x:v>1</x:v>
      </x:c>
      <x:c r="D98" s="18" t="n">
        <x:v>13</x:v>
      </x:c>
      <x:c r="E98" s="18" t="n">
        <x:v>14</x:v>
      </x:c>
      <x:c r="F98" s="18" t="n">
        <x:v>46</x:v>
      </x:c>
      <x:c r="G98" s="18" t="n">
        <x:v>1794</x:v>
      </x:c>
      <x:c r="H98" s="18" t="n">
        <x:v>318</x:v>
      </x:c>
      <x:c r="I98" s="20" t="n">
        <x:v>72.05667638416378</x:v>
      </x:c>
      <x:c r="J98" s="20" t="n">
        <x:v>4.35</x:v>
      </x:c>
      <x:c r="K98" s="18" t="n">
        <x:v>0</x:v>
      </x:c>
      <x:c r="L98" s="18" t="n">
        <x:v>0</x:v>
      </x:c>
      <x:c r="M98" s="18" t="n">
        <x:v>8</x:v>
      </x:c>
      <x:c r="N98" s="18" t="n">
        <x:v>1</x:v>
      </x:c>
      <x:c r="O98" s="22" t="n">
        <x:v>234.50556172930098</x:v>
      </x:c>
      <x:c r="P98" s="22" t="n">
        <x:v>234.50556172930098</x:v>
      </x:c>
      <x:c r="Q98" s="22" t="n">
        <x:v>27.358982201751775</x:v>
      </x:c>
      <x:c r="R98" s="22" t="n">
        <x:v>28.042956756795572</x:v>
      </x:c>
      <x:c r="S98" s="24" t="n">
        <x:v>0.050000000000000044</x:v>
      </x:c>
      <x:c r="T98" s="20" t="n">
        <x:v>1.5</x:v>
      </x:c>
      <x:c r="U98" s="22" t="n">
        <x:v>2256.649217364635</x:v>
      </x:c>
      <x:c r="V98" s="22" t="n">
        <x:v>7379.442174196206</x:v>
      </x:c>
      <x:c r="W98" s="22" t="n">
        <x:v>63377.00066899958</x:v>
      </x:c>
      <x:c r="X98" s="22" t="n">
        <x:v>55953.27869005098</x:v>
      </x:c>
      <x:c r="Y98" s="22" t="n">
        <x:v>1275.7826676058671</x:v>
      </x:c>
      <x:c r="Z98" s="22" t="n">
        <x:v>0</x:v>
      </x:c>
      <x:c r="AA98" s="22" t="n">
        <x:v>0</x:v>
      </x:c>
      <x:c r="AB98" s="22" t="n">
        <x:v>55953.27869005098</x:v>
      </x:c>
      <x:c r="AC98" s="22" t="n">
        <x:v>1275.7826676058671</x:v>
      </x:c>
      <x:c r="AD98" s="18" t="n">
        <x:v>0</x:v>
      </x:c>
      <x:c r="AE98" s="18" t="n">
        <x:v>0</x:v>
      </x:c>
      <x:c r="AF98" s="18" t="n">
        <x:v>0</x:v>
      </x:c>
      <x:c r="AG98" s="18" t="n">
        <x:v>0</x:v>
      </x:c>
      <x:c r="AH98" s="18" t="n">
        <x:v>0</x:v>
      </x:c>
      <x:c r="AI98" s="18" t="n">
        <x:v>0</x:v>
      </x:c>
      <x:c r="AJ98" s="18" t="n">
        <x:v>0</x:v>
      </x:c>
      <x:c r="AK98" s="18" t="n">
        <x:v>0</x:v>
      </x:c>
      <x:c r="AL98" s="22" t="n">
        <x:v>120.87216560731102</x:v>
      </x:c>
      <x:c r="AM98" s="22" t="n">
        <x:v>12.77457744927083</x:v>
      </x:c>
      <x:c r="AN98" s="22" t="n">
        <x:v>37.66114052065201</x:v>
      </x:c>
      <x:c r="AO98" s="22" t="n">
        <x:v>3.1384283767210026</x:v>
      </x:c>
      <x:c r="AP98" s="22" t="n">
        <x:v>40.53944860129482</x:v>
      </x:c>
      <x:c r="AQ98" s="18" t="n">
        <x:v>218</x:v>
      </x:c>
      <x:c r="AR98" s="18" t="n">
        <x:v>44</x:v>
      </x:c>
      <x:c r="AS98" s="18" t="n">
        <x:v>-1</x:v>
      </x:c>
      <x:c r="AT98" s="18" t="n">
        <x:v>0</x:v>
      </x:c>
    </x:row>
    <x:row r="99" ht="25" customHeight="1">
      <x:c r="A99" s="19" t="str">
        <x:v>no_purchases</x:v>
      </x:c>
      <x:c r="B99" s="19" t="n">
        <x:v>12</x:v>
      </x:c>
      <x:c r="C99" s="19" t="n">
        <x:v>1</x:v>
      </x:c>
      <x:c r="D99" s="19" t="n">
        <x:v>13</x:v>
      </x:c>
      <x:c r="E99" s="19" t="n">
        <x:v>15</x:v>
      </x:c>
      <x:c r="F99" s="19" t="n">
        <x:v>46</x:v>
      </x:c>
      <x:c r="G99" s="19" t="n">
        <x:v>1782</x:v>
      </x:c>
      <x:c r="H99" s="19" t="n">
        <x:v>320</x:v>
      </x:c>
      <x:c r="I99" s="21" t="n">
        <x:v>441.1767847982241</x:v>
      </x:c>
      <x:c r="J99" s="21" t="n">
        <x:v>4.35</x:v>
      </x:c>
      <x:c r="K99" s="19" t="n">
        <x:v>0</x:v>
      </x:c>
      <x:c r="L99" s="19" t="n">
        <x:v>0</x:v>
      </x:c>
      <x:c r="M99" s="19" t="n">
        <x:v>8</x:v>
      </x:c>
      <x:c r="N99" s="19" t="n">
        <x:v>4</x:v>
      </x:c>
      <x:c r="O99" s="23" t="n">
        <x:v>234.50556172930098</x:v>
      </x:c>
      <x:c r="P99" s="23" t="n">
        <x:v>119.53436468586364</x:v>
      </x:c>
      <x:c r="Q99" s="23" t="n">
        <x:v>27.358982201751775</x:v>
      </x:c>
      <x:c r="R99" s="23" t="n">
        <x:v>28.042956756795572</x:v>
      </x:c>
      <x:c r="S99" s="25" t="n">
        <x:v>0.050000000000000044</x:v>
      </x:c>
      <x:c r="T99" s="21" t="n">
        <x:v>1.5</x:v>
      </x:c>
      <x:c r="U99" s="23" t="n">
        <x:v>2810.5855060031745</x:v>
      </x:c>
      <x:c r="V99" s="23" t="n">
        <x:v>7379.442174196206</x:v>
      </x:c>
      <x:c r="W99" s="23" t="n">
        <x:v>63930.936957638114</x:v>
      </x:c>
      <x:c r="X99" s="23" t="n">
        <x:v>56732.97228893565</x:v>
      </x:c>
      <x:c r="Y99" s="23" t="n">
        <x:v>1344.2016952396734</x:v>
      </x:c>
      <x:c r="Z99" s="23" t="n">
        <x:v>0</x:v>
      </x:c>
      <x:c r="AA99" s="23" t="n">
        <x:v>0</x:v>
      </x:c>
      <x:c r="AB99" s="23" t="n">
        <x:v>56732.97228893565</x:v>
      </x:c>
      <x:c r="AC99" s="23" t="n">
        <x:v>1344.2016952396734</x:v>
      </x:c>
      <x:c r="AD99" s="19" t="n">
        <x:v>0</x:v>
      </x:c>
      <x:c r="AE99" s="19" t="n">
        <x:v>0</x:v>
      </x:c>
      <x:c r="AF99" s="19" t="n">
        <x:v>0</x:v>
      </x:c>
      <x:c r="AG99" s="19" t="n">
        <x:v>0</x:v>
      </x:c>
      <x:c r="AH99" s="19" t="n">
        <x:v>0</x:v>
      </x:c>
      <x:c r="AI99" s="19" t="n">
        <x:v>0</x:v>
      </x:c>
      <x:c r="AJ99" s="19" t="n">
        <x:v>0</x:v>
      </x:c>
      <x:c r="AK99" s="19" t="n">
        <x:v>0</x:v>
      </x:c>
      <x:c r="AL99" s="23" t="n">
        <x:v>120.87216560731102</x:v>
      </x:c>
      <x:c r="AM99" s="23" t="n">
        <x:v>12.77457744927083</x:v>
      </x:c>
      <x:c r="AN99" s="23" t="n">
        <x:v>37.66114052065201</x:v>
      </x:c>
      <x:c r="AO99" s="23" t="n">
        <x:v>3.1384283767210026</x:v>
      </x:c>
      <x:c r="AP99" s="23" t="n">
        <x:v>40.53944860129482</x:v>
      </x:c>
      <x:c r="AQ99" s="19" t="n">
        <x:v>221</x:v>
      </x:c>
      <x:c r="AR99" s="19" t="n">
        <x:v>43</x:v>
      </x:c>
      <x:c r="AS99" s="19" t="n">
        <x:v>-1</x:v>
      </x:c>
      <x:c r="AT99" s="19" t="n">
        <x:v>0</x:v>
      </x:c>
    </x:row>
    <x:row r="100" ht="25" customHeight="1">
      <x:c r="A100" s="18" t="str">
        <x:v>no_purchases</x:v>
      </x:c>
      <x:c r="B100" s="18" t="n">
        <x:v>13</x:v>
      </x:c>
      <x:c r="C100" s="18" t="n">
        <x:v>1</x:v>
      </x:c>
      <x:c r="D100" s="18" t="n">
        <x:v>14</x:v>
      </x:c>
      <x:c r="E100" s="18" t="n">
        <x:v>15</x:v>
      </x:c>
      <x:c r="F100" s="18" t="n">
        <x:v>46</x:v>
      </x:c>
      <x:c r="G100" s="18" t="n">
        <x:v>1844</x:v>
      </x:c>
      <x:c r="H100" s="18" t="n">
        <x:v>304</x:v>
      </x:c>
      <x:c r="I100" s="20" t="n">
        <x:v>486.80544281609093</x:v>
      </x:c>
      <x:c r="J100" s="20" t="n">
        <x:v>4.35</x:v>
      </x:c>
      <x:c r="K100" s="18" t="n">
        <x:v>0</x:v>
      </x:c>
      <x:c r="L100" s="18" t="n">
        <x:v>0</x:v>
      </x:c>
      <x:c r="M100" s="18" t="n">
        <x:v>8</x:v>
      </x:c>
      <x:c r="N100" s="18" t="n">
        <x:v>2</x:v>
      </x:c>
      <x:c r="O100" s="22" t="n">
        <x:v>234.50556172930098</x:v>
      </x:c>
      <x:c r="P100" s="22" t="n">
        <x:v>180.0858617954074</x:v>
      </x:c>
      <x:c r="Q100" s="22" t="n">
        <x:v>27.358982201751775</x:v>
      </x:c>
      <x:c r="R100" s="22" t="n">
        <x:v>28.042956756795572</x:v>
      </x:c>
      <x:c r="S100" s="24" t="n">
        <x:v>0.050000000000000044</x:v>
      </x:c>
      <x:c r="T100" s="20" t="n">
        <x:v>1.5</x:v>
      </x:c>
      <x:c r="U100" s="22" t="n">
        <x:v>1344.3622951709096</x:v>
      </x:c>
      <x:c r="V100" s="22" t="n">
        <x:v>7379.442174196206</x:v>
      </x:c>
      <x:c r="W100" s="22" t="n">
        <x:v>62464.713746805835</x:v>
      </x:c>
      <x:c r="X100" s="22" t="n">
        <x:v>54264.655615130585</x:v>
      </x:c>
      <x:c r="Y100" s="22" t="n">
        <x:v>1287.6522519506593</x:v>
      </x:c>
      <x:c r="Z100" s="22" t="n">
        <x:v>0</x:v>
      </x:c>
      <x:c r="AA100" s="22" t="n">
        <x:v>0</x:v>
      </x:c>
      <x:c r="AB100" s="22" t="n">
        <x:v>54264.655615130585</x:v>
      </x:c>
      <x:c r="AC100" s="22" t="n">
        <x:v>1287.6522519506593</x:v>
      </x:c>
      <x:c r="AD100" s="18" t="n">
        <x:v>0</x:v>
      </x:c>
      <x:c r="AE100" s="18" t="n">
        <x:v>0</x:v>
      </x:c>
      <x:c r="AF100" s="18" t="n">
        <x:v>0</x:v>
      </x:c>
      <x:c r="AG100" s="18" t="n">
        <x:v>0</x:v>
      </x:c>
      <x:c r="AH100" s="18" t="n">
        <x:v>0</x:v>
      </x:c>
      <x:c r="AI100" s="18" t="n">
        <x:v>0</x:v>
      </x:c>
      <x:c r="AJ100" s="18" t="n">
        <x:v>0</x:v>
      </x:c>
      <x:c r="AK100" s="18" t="n">
        <x:v>0</x:v>
      </x:c>
      <x:c r="AL100" s="22" t="n">
        <x:v>130.54193885589595</x:v>
      </x:c>
      <x:c r="AM100" s="22" t="n">
        <x:v>13.604924983473428</x:v>
      </x:c>
      <x:c r="AN100" s="22" t="n">
        <x:v>41.427254572717224</x:v>
      </x:c>
      <x:c r="AO100" s="22" t="n">
        <x:v>3.4522712143931034</x:v>
      </x:c>
      <x:c r="AP100" s="22" t="n">
        <x:v>43.37721000338547</x:v>
      </x:c>
      <x:c r="AQ100" s="18" t="n">
        <x:v>220</x:v>
      </x:c>
      <x:c r="AR100" s="18" t="n">
        <x:v>43</x:v>
      </x:c>
      <x:c r="AS100" s="18" t="n">
        <x:v>1</x:v>
      </x:c>
      <x:c r="AT100" s="18" t="n">
        <x:v>1</x:v>
      </x:c>
    </x:row>
    <x:row r="101" ht="25" customHeight="1">
      <x:c r="A101" s="19" t="str">
        <x:v>no_purchases</x:v>
      </x:c>
      <x:c r="B101" s="19" t="n">
        <x:v>14</x:v>
      </x:c>
      <x:c r="C101" s="19" t="n">
        <x:v>1</x:v>
      </x:c>
      <x:c r="D101" s="19" t="n">
        <x:v>14</x:v>
      </x:c>
      <x:c r="E101" s="19" t="n">
        <x:v>14</x:v>
      </x:c>
      <x:c r="F101" s="19" t="n">
        <x:v>46</x:v>
      </x:c>
      <x:c r="G101" s="19" t="n">
        <x:v>1785</x:v>
      </x:c>
      <x:c r="H101" s="19" t="n">
        <x:v>316</x:v>
      </x:c>
      <x:c r="I101" s="21" t="n">
        <x:v>71.62969215729595</x:v>
      </x:c>
      <x:c r="J101" s="21" t="n">
        <x:v>4.35</x:v>
      </x:c>
      <x:c r="K101" s="19" t="n">
        <x:v>0</x:v>
      </x:c>
      <x:c r="L101" s="19" t="n">
        <x:v>0</x:v>
      </x:c>
      <x:c r="M101" s="19" t="n">
        <x:v>8</x:v>
      </x:c>
      <x:c r="N101" s="19" t="n">
        <x:v>1</x:v>
      </x:c>
      <x:c r="O101" s="23" t="n">
        <x:v>234.50556172930098</x:v>
      </x:c>
      <x:c r="P101" s="23" t="n">
        <x:v>11.844676788510473</x:v>
      </x:c>
      <x:c r="Q101" s="23" t="n">
        <x:v>27.358982201751775</x:v>
      </x:c>
      <x:c r="R101" s="23" t="n">
        <x:v>28.042956756795572</x:v>
      </x:c>
      <x:c r="S101" s="25" t="n">
        <x:v>0.050000000000000044</x:v>
      </x:c>
      <x:c r="T101" s="21" t="n">
        <x:v>1.5</x:v>
      </x:c>
      <x:c r="U101" s="23" t="n">
        <x:v>1630.2253291589536</x:v>
      </x:c>
      <x:c r="V101" s="23" t="n">
        <x:v>7379.442174196206</x:v>
      </x:c>
      <x:c r="W101" s="23" t="n">
        <x:v>62750.576780793876</x:v>
      </x:c>
      <x:c r="X101" s="23" t="n">
        <x:v>55237.30662033765</x:v>
      </x:c>
      <x:c r="Y101" s="23" t="n">
        <x:v>1336.3839606768556</x:v>
      </x:c>
      <x:c r="Z101" s="23" t="n">
        <x:v>0</x:v>
      </x:c>
      <x:c r="AA101" s="23" t="n">
        <x:v>0</x:v>
      </x:c>
      <x:c r="AB101" s="23" t="n">
        <x:v>55237.30662033765</x:v>
      </x:c>
      <x:c r="AC101" s="23" t="n">
        <x:v>1336.3839606768556</x:v>
      </x:c>
      <x:c r="AD101" s="19" t="n">
        <x:v>0</x:v>
      </x:c>
      <x:c r="AE101" s="19" t="n">
        <x:v>0</x:v>
      </x:c>
      <x:c r="AF101" s="19" t="n">
        <x:v>0</x:v>
      </x:c>
      <x:c r="AG101" s="19" t="n">
        <x:v>0</x:v>
      </x:c>
      <x:c r="AH101" s="19" t="n">
        <x:v>0</x:v>
      </x:c>
      <x:c r="AI101" s="19" t="n">
        <x:v>0</x:v>
      </x:c>
      <x:c r="AJ101" s="19" t="n">
        <x:v>0</x:v>
      </x:c>
      <x:c r="AK101" s="19" t="n">
        <x:v>0</x:v>
      </x:c>
      <x:c r="AL101" s="23" t="n">
        <x:v>130.54193885589595</x:v>
      </x:c>
      <x:c r="AM101" s="23" t="n">
        <x:v>13.604924983473428</x:v>
      </x:c>
      <x:c r="AN101" s="23" t="n">
        <x:v>41.427254572717224</x:v>
      </x:c>
      <x:c r="AO101" s="23" t="n">
        <x:v>3.4522712143931034</x:v>
      </x:c>
      <x:c r="AP101" s="23" t="n">
        <x:v>43.37721000338547</x:v>
      </x:c>
      <x:c r="AQ101" s="19" t="n">
        <x:v>219</x:v>
      </x:c>
      <x:c r="AR101" s="19" t="n">
        <x:v>42</x:v>
      </x:c>
      <x:c r="AS101" s="19" t="n">
        <x:v>1</x:v>
      </x:c>
      <x:c r="AT101" s="19" t="n">
        <x:v>1</x:v>
      </x:c>
    </x:row>
    <x:row r="102" ht="25" customHeight="1">
      <x:c r="A102" s="18" t="str">
        <x:v>no_purchases</x:v>
      </x:c>
      <x:c r="B102" s="18" t="n">
        <x:v>15</x:v>
      </x:c>
      <x:c r="C102" s="18" t="n">
        <x:v>1</x:v>
      </x:c>
      <x:c r="D102" s="18" t="n">
        <x:v>13</x:v>
      </x:c>
      <x:c r="E102" s="18" t="n">
        <x:v>14</x:v>
      </x:c>
      <x:c r="F102" s="18" t="n">
        <x:v>46</x:v>
      </x:c>
      <x:c r="G102" s="18" t="n">
        <x:v>1782</x:v>
      </x:c>
      <x:c r="H102" s="18" t="n">
        <x:v>321</x:v>
      </x:c>
      <x:c r="I102" s="20" t="n">
        <x:v>71.1705914139016</x:v>
      </x:c>
      <x:c r="J102" s="20" t="n">
        <x:v>4.35</x:v>
      </x:c>
      <x:c r="K102" s="18" t="n">
        <x:v>0</x:v>
      </x:c>
      <x:c r="L102" s="18" t="n">
        <x:v>0</x:v>
      </x:c>
      <x:c r="M102" s="18" t="n">
        <x:v>8</x:v>
      </x:c>
      <x:c r="N102" s="18" t="n">
        <x:v>3</x:v>
      </x:c>
      <x:c r="O102" s="22" t="n">
        <x:v>234.50556172930098</x:v>
      </x:c>
      <x:c r="P102" s="22" t="n">
        <x:v>157.85809703367622</x:v>
      </x:c>
      <x:c r="Q102" s="22" t="n">
        <x:v>27.358982201751775</x:v>
      </x:c>
      <x:c r="R102" s="22" t="n">
        <x:v>28.042956756795572</x:v>
      </x:c>
      <x:c r="S102" s="24" t="n">
        <x:v>0.050000000000000044</x:v>
      </x:c>
      <x:c r="T102" s="20" t="n">
        <x:v>1.5</x:v>
      </x:c>
      <x:c r="U102" s="22" t="n">
        <x:v>2332.899557708893</x:v>
      </x:c>
      <x:c r="V102" s="22" t="n">
        <x:v>7379.442174196206</x:v>
      </x:c>
      <x:c r="W102" s="22" t="n">
        <x:v>63453.251009343825</x:v>
      </x:c>
      <x:c r="X102" s="22" t="n">
        <x:v>56166.036184075056</x:v>
      </x:c>
      <x:c r="Y102" s="22" t="n">
        <x:v>1298.102680541794</x:v>
      </x:c>
      <x:c r="Z102" s="22" t="n">
        <x:v>0</x:v>
      </x:c>
      <x:c r="AA102" s="22" t="n">
        <x:v>0</x:v>
      </x:c>
      <x:c r="AB102" s="22" t="n">
        <x:v>56166.036184075056</x:v>
      </x:c>
      <x:c r="AC102" s="22" t="n">
        <x:v>1298.102680541794</x:v>
      </x:c>
      <x:c r="AD102" s="18" t="n">
        <x:v>0</x:v>
      </x:c>
      <x:c r="AE102" s="18" t="n">
        <x:v>0</x:v>
      </x:c>
      <x:c r="AF102" s="18" t="n">
        <x:v>0</x:v>
      </x:c>
      <x:c r="AG102" s="18" t="n">
        <x:v>0</x:v>
      </x:c>
      <x:c r="AH102" s="18" t="n">
        <x:v>0</x:v>
      </x:c>
      <x:c r="AI102" s="18" t="n">
        <x:v>0</x:v>
      </x:c>
      <x:c r="AJ102" s="18" t="n">
        <x:v>0</x:v>
      </x:c>
      <x:c r="AK102" s="18" t="n">
        <x:v>0</x:v>
      </x:c>
      <x:c r="AL102" s="22" t="n">
        <x:v>120.87216560731102</x:v>
      </x:c>
      <x:c r="AM102" s="22" t="n">
        <x:v>12.77457744927083</x:v>
      </x:c>
      <x:c r="AN102" s="22" t="n">
        <x:v>37.66114052065201</x:v>
      </x:c>
      <x:c r="AO102" s="22" t="n">
        <x:v>3.1384283767210026</x:v>
      </x:c>
      <x:c r="AP102" s="22" t="n">
        <x:v>40.53944860129482</x:v>
      </x:c>
      <x:c r="AQ102" s="18" t="n">
        <x:v>218</x:v>
      </x:c>
      <x:c r="AR102" s="18" t="n">
        <x:v>43</x:v>
      </x:c>
      <x:c r="AS102" s="18" t="n">
        <x:v>0</x:v>
      </x:c>
      <x:c r="AT102" s="18" t="n">
        <x:v>0</x:v>
      </x:c>
    </x:row>
    <x:row r="103" ht="25" customHeight="1">
      <x:c r="A103" s="19" t="str">
        <x:v>no_purchases</x:v>
      </x:c>
      <x:c r="B103" s="19" t="n">
        <x:v>16</x:v>
      </x:c>
      <x:c r="C103" s="19" t="n">
        <x:v>1</x:v>
      </x:c>
      <x:c r="D103" s="19" t="n">
        <x:v>13</x:v>
      </x:c>
      <x:c r="E103" s="19" t="n">
        <x:v>14</x:v>
      </x:c>
      <x:c r="F103" s="19" t="n">
        <x:v>46</x:v>
      </x:c>
      <x:c r="G103" s="19" t="n">
        <x:v>1789</x:v>
      </x:c>
      <x:c r="H103" s="19" t="n">
        <x:v>316</x:v>
      </x:c>
      <x:c r="I103" s="21" t="n">
        <x:v>71.338673436438</x:v>
      </x:c>
      <x:c r="J103" s="21" t="n">
        <x:v>4.35</x:v>
      </x:c>
      <x:c r="K103" s="19" t="n">
        <x:v>0</x:v>
      </x:c>
      <x:c r="L103" s="19" t="n">
        <x:v>0</x:v>
      </x:c>
      <x:c r="M103" s="19" t="n">
        <x:v>8</x:v>
      </x:c>
      <x:c r="N103" s="19" t="n">
        <x:v>2</x:v>
      </x:c>
      <x:c r="O103" s="23" t="n">
        <x:v>234.50556172930098</x:v>
      </x:c>
      <x:c r="P103" s="23" t="n">
        <x:v>170.63267448294695</x:v>
      </x:c>
      <x:c r="Q103" s="23" t="n">
        <x:v>27.358982201751775</x:v>
      </x:c>
      <x:c r="R103" s="23" t="n">
        <x:v>28.042956756795572</x:v>
      </x:c>
      <x:c r="S103" s="25" t="n">
        <x:v>0.050000000000000044</x:v>
      </x:c>
      <x:c r="T103" s="21" t="n">
        <x:v>1.5</x:v>
      </x:c>
      <x:c r="U103" s="23" t="n">
        <x:v>1905.8599606644757</x:v>
      </x:c>
      <x:c r="V103" s="23" t="n">
        <x:v>7379.442174196206</x:v>
      </x:c>
      <x:c r="W103" s="23" t="n">
        <x:v>63026.211412299424</x:v>
      </x:c>
      <x:c r="X103" s="23" t="n">
        <x:v>55523.11340965078</x:v>
      </x:c>
      <x:c r="Y103" s="23" t="n">
        <x:v>1245.3714524382654</x:v>
      </x:c>
      <x:c r="Z103" s="23" t="n">
        <x:v>0</x:v>
      </x:c>
      <x:c r="AA103" s="23" t="n">
        <x:v>0</x:v>
      </x:c>
      <x:c r="AB103" s="23" t="n">
        <x:v>55523.11340965078</x:v>
      </x:c>
      <x:c r="AC103" s="23" t="n">
        <x:v>1245.3714524382654</x:v>
      </x:c>
      <x:c r="AD103" s="19" t="n">
        <x:v>0</x:v>
      </x:c>
      <x:c r="AE103" s="19" t="n">
        <x:v>0</x:v>
      </x:c>
      <x:c r="AF103" s="19" t="n">
        <x:v>0</x:v>
      </x:c>
      <x:c r="AG103" s="19" t="n">
        <x:v>0</x:v>
      </x:c>
      <x:c r="AH103" s="19" t="n">
        <x:v>0</x:v>
      </x:c>
      <x:c r="AI103" s="19" t="n">
        <x:v>0</x:v>
      </x:c>
      <x:c r="AJ103" s="19" t="n">
        <x:v>0</x:v>
      </x:c>
      <x:c r="AK103" s="19" t="n">
        <x:v>0</x:v>
      </x:c>
      <x:c r="AL103" s="23" t="n">
        <x:v>120.87216560731102</x:v>
      </x:c>
      <x:c r="AM103" s="23" t="n">
        <x:v>12.77457744927083</x:v>
      </x:c>
      <x:c r="AN103" s="23" t="n">
        <x:v>37.66114052065201</x:v>
      </x:c>
      <x:c r="AO103" s="23" t="n">
        <x:v>3.1384283767210026</x:v>
      </x:c>
      <x:c r="AP103" s="23" t="n">
        <x:v>40.53944860129482</x:v>
      </x:c>
      <x:c r="AQ103" s="19" t="n">
        <x:v>226</x:v>
      </x:c>
      <x:c r="AR103" s="19" t="n">
        <x:v>39</x:v>
      </x:c>
      <x:c r="AS103" s="19" t="n">
        <x:v>0</x:v>
      </x:c>
      <x:c r="AT103" s="19" t="n">
        <x:v>1</x:v>
      </x:c>
    </x:row>
    <x:row r="104" ht="25" customHeight="1">
      <x:c r="A104" s="18" t="str">
        <x:v>no_purchases</x:v>
      </x:c>
      <x:c r="B104" s="18" t="n">
        <x:v>17</x:v>
      </x:c>
      <x:c r="C104" s="18" t="n">
        <x:v>1</x:v>
      </x:c>
      <x:c r="D104" s="18" t="n">
        <x:v>13</x:v>
      </x:c>
      <x:c r="E104" s="18" t="n">
        <x:v>15</x:v>
      </x:c>
      <x:c r="F104" s="18" t="n">
        <x:v>46</x:v>
      </x:c>
      <x:c r="G104" s="18" t="n">
        <x:v>1787</x:v>
      </x:c>
      <x:c r="H104" s="18" t="n">
        <x:v>319</x:v>
      </x:c>
      <x:c r="I104" s="20" t="n">
        <x:v>379.6642383467914</x:v>
      </x:c>
      <x:c r="J104" s="20" t="n">
        <x:v>4.35</x:v>
      </x:c>
      <x:c r="K104" s="18" t="n">
        <x:v>0</x:v>
      </x:c>
      <x:c r="L104" s="18" t="n">
        <x:v>0</x:v>
      </x:c>
      <x:c r="M104" s="18" t="n">
        <x:v>8</x:v>
      </x:c>
      <x:c r="N104" s="18" t="n">
        <x:v>5</x:v>
      </x:c>
      <x:c r="O104" s="22" t="n">
        <x:v>234.50556172930098</x:v>
      </x:c>
      <x:c r="P104" s="22" t="n">
        <x:v>81.21063233805108</x:v>
      </x:c>
      <x:c r="Q104" s="22" t="n">
        <x:v>27.358982201751775</x:v>
      </x:c>
      <x:c r="R104" s="22" t="n">
        <x:v>28.042956756795572</x:v>
      </x:c>
      <x:c r="S104" s="24" t="n">
        <x:v>0.050000000000000044</x:v>
      </x:c>
      <x:c r="T104" s="20" t="n">
        <x:v>1.5</x:v>
      </x:c>
      <x:c r="U104" s="22" t="n">
        <x:v>2826.2380358516934</x:v>
      </x:c>
      <x:c r="V104" s="22" t="n">
        <x:v>7379.442174196206</x:v>
      </x:c>
      <x:c r="W104" s="22" t="n">
        <x:v>63946.58948748666</x:v>
      </x:c>
      <x:c r="X104" s="22" t="n">
        <x:v>56767.50329375646</x:v>
      </x:c>
      <x:c r="Y104" s="22" t="n">
        <x:v>1326.7358272302333</x:v>
      </x:c>
      <x:c r="Z104" s="22" t="n">
        <x:v>0</x:v>
      </x:c>
      <x:c r="AA104" s="22" t="n">
        <x:v>0</x:v>
      </x:c>
      <x:c r="AB104" s="22" t="n">
        <x:v>56767.50329375646</x:v>
      </x:c>
      <x:c r="AC104" s="22" t="n">
        <x:v>1326.7358272302333</x:v>
      </x:c>
      <x:c r="AD104" s="18" t="n">
        <x:v>0</x:v>
      </x:c>
      <x:c r="AE104" s="18" t="n">
        <x:v>0</x:v>
      </x:c>
      <x:c r="AF104" s="18" t="n">
        <x:v>0</x:v>
      </x:c>
      <x:c r="AG104" s="18" t="n">
        <x:v>0</x:v>
      </x:c>
      <x:c r="AH104" s="18" t="n">
        <x:v>0</x:v>
      </x:c>
      <x:c r="AI104" s="18" t="n">
        <x:v>0</x:v>
      </x:c>
      <x:c r="AJ104" s="18" t="n">
        <x:v>0</x:v>
      </x:c>
      <x:c r="AK104" s="18" t="n">
        <x:v>0</x:v>
      </x:c>
      <x:c r="AL104" s="22" t="n">
        <x:v>120.87216560731102</x:v>
      </x:c>
      <x:c r="AM104" s="22" t="n">
        <x:v>12.77457744927083</x:v>
      </x:c>
      <x:c r="AN104" s="22" t="n">
        <x:v>37.66114052065201</x:v>
      </x:c>
      <x:c r="AO104" s="22" t="n">
        <x:v>3.1384283767210026</x:v>
      </x:c>
      <x:c r="AP104" s="22" t="n">
        <x:v>40.53944860129482</x:v>
      </x:c>
      <x:c r="AQ104" s="18" t="n">
        <x:v>219</x:v>
      </x:c>
      <x:c r="AR104" s="18" t="n">
        <x:v>43</x:v>
      </x:c>
      <x:c r="AS104" s="18" t="n">
        <x:v>-1</x:v>
      </x:c>
      <x:c r="AT104" s="18" t="n">
        <x:v>1</x:v>
      </x:c>
    </x:row>
    <x:row r="105" ht="25" customHeight="1">
      <x:c r="A105" s="19" t="str">
        <x:v>no_purchases</x:v>
      </x:c>
      <x:c r="B105" s="19" t="n">
        <x:v>18</x:v>
      </x:c>
      <x:c r="C105" s="19" t="n">
        <x:v>1</x:v>
      </x:c>
      <x:c r="D105" s="19" t="n">
        <x:v>12</x:v>
      </x:c>
      <x:c r="E105" s="19" t="n">
        <x:v>14</x:v>
      </x:c>
      <x:c r="F105" s="19" t="n">
        <x:v>46</x:v>
      </x:c>
      <x:c r="G105" s="19" t="n">
        <x:v>1787</x:v>
      </x:c>
      <x:c r="H105" s="19" t="n">
        <x:v>313</x:v>
      </x:c>
      <x:c r="I105" s="21" t="n">
        <x:v>71.8747812099308</x:v>
      </x:c>
      <x:c r="J105" s="21" t="n">
        <x:v>4.35</x:v>
      </x:c>
      <x:c r="K105" s="19" t="n">
        <x:v>0</x:v>
      </x:c>
      <x:c r="L105" s="19" t="n">
        <x:v>0</x:v>
      </x:c>
      <x:c r="M105" s="19" t="n">
        <x:v>8</x:v>
      </x:c>
      <x:c r="N105" s="19" t="n">
        <x:v>5</x:v>
      </x:c>
      <x:c r="O105" s="23" t="n">
        <x:v>234.50556172930098</x:v>
      </x:c>
      <x:c r="P105" s="23" t="n">
        <x:v>44.38626354062232</x:v>
      </x:c>
      <x:c r="Q105" s="23" t="n">
        <x:v>27.358982201751775</x:v>
      </x:c>
      <x:c r="R105" s="23" t="n">
        <x:v>28.042956756795572</x:v>
      </x:c>
      <x:c r="S105" s="25" t="n">
        <x:v>0.050000000000000044</x:v>
      </x:c>
      <x:c r="T105" s="21" t="n">
        <x:v>1.5</x:v>
      </x:c>
      <x:c r="U105" s="23" t="n">
        <x:v>1968.639973867946</x:v>
      </x:c>
      <x:c r="V105" s="23" t="n">
        <x:v>7379.442174196206</x:v>
      </x:c>
      <x:c r="W105" s="23" t="n">
        <x:v>63088.991425502885</x:v>
      </x:c>
      <x:c r="X105" s="23" t="n">
        <x:v>55611.27749332488</x:v>
      </x:c>
      <x:c r="Y105" s="23" t="n">
        <x:v>1182.5527762809938</x:v>
      </x:c>
      <x:c r="Z105" s="23" t="n">
        <x:v>0</x:v>
      </x:c>
      <x:c r="AA105" s="23" t="n">
        <x:v>0</x:v>
      </x:c>
      <x:c r="AB105" s="23" t="n">
        <x:v>55611.27749332488</x:v>
      </x:c>
      <x:c r="AC105" s="23" t="n">
        <x:v>1182.5527762809938</x:v>
      </x:c>
      <x:c r="AD105" s="19" t="n">
        <x:v>0</x:v>
      </x:c>
      <x:c r="AE105" s="19" t="n">
        <x:v>0</x:v>
      </x:c>
      <x:c r="AF105" s="19" t="n">
        <x:v>0</x:v>
      </x:c>
      <x:c r="AG105" s="19" t="n">
        <x:v>0</x:v>
      </x:c>
      <x:c r="AH105" s="19" t="n">
        <x:v>0</x:v>
      </x:c>
      <x:c r="AI105" s="19" t="n">
        <x:v>0</x:v>
      </x:c>
      <x:c r="AJ105" s="19" t="n">
        <x:v>0</x:v>
      </x:c>
      <x:c r="AK105" s="19" t="n">
        <x:v>0</x:v>
      </x:c>
      <x:c r="AL105" s="23" t="n">
        <x:v>111.91867185862138</x:v>
      </x:c>
      <x:c r="AM105" s="23" t="n">
        <x:v>11.9949084030712</x:v>
      </x:c>
      <x:c r="AN105" s="23" t="n">
        <x:v>34.23740047332002</x:v>
      </x:c>
      <x:c r="AO105" s="23" t="n">
        <x:v>2.853116706110002</x:v>
      </x:c>
      <x:c r="AP105" s="23" t="n">
        <x:v>37.887335141397024</x:v>
      </x:c>
      <x:c r="AQ105" s="19" t="n">
        <x:v>230</x:v>
      </x:c>
      <x:c r="AR105" s="19" t="n">
        <x:v>37</x:v>
      </x:c>
      <x:c r="AS105" s="19" t="n">
        <x:v>0</x:v>
      </x:c>
      <x:c r="AT105" s="19" t="n">
        <x:v>0</x:v>
      </x:c>
    </x:row>
    <x:row r="106" ht="25" customHeight="1">
      <x:c r="A106" s="18" t="str">
        <x:v>no_purchases</x:v>
      </x:c>
      <x:c r="B106" s="18" t="n">
        <x:v>19</x:v>
      </x:c>
      <x:c r="C106" s="18" t="n">
        <x:v>1</x:v>
      </x:c>
      <x:c r="D106" s="18" t="n">
        <x:v>12</x:v>
      </x:c>
      <x:c r="E106" s="18" t="n">
        <x:v>14</x:v>
      </x:c>
      <x:c r="F106" s="18" t="n">
        <x:v>46</x:v>
      </x:c>
      <x:c r="G106" s="18" t="n">
        <x:v>1812</x:v>
      </x:c>
      <x:c r="H106" s="18" t="n">
        <x:v>304</x:v>
      </x:c>
      <x:c r="I106" s="20" t="n">
        <x:v>72.90866373902867</x:v>
      </x:c>
      <x:c r="J106" s="20" t="n">
        <x:v>4.35</x:v>
      </x:c>
      <x:c r="K106" s="18" t="n">
        <x:v>0</x:v>
      </x:c>
      <x:c r="L106" s="18" t="n">
        <x:v>0</x:v>
      </x:c>
      <x:c r="M106" s="18" t="n">
        <x:v>8</x:v>
      </x:c>
      <x:c r="N106" s="18" t="n">
        <x:v>2</x:v>
      </x:c>
      <x:c r="O106" s="22" t="n">
        <x:v>234.50556172930098</x:v>
      </x:c>
      <x:c r="P106" s="22" t="n">
        <x:v>192.52338231855185</x:v>
      </x:c>
      <x:c r="Q106" s="22" t="n">
        <x:v>27.358982201751775</x:v>
      </x:c>
      <x:c r="R106" s="22" t="n">
        <x:v>28.042956756795572</x:v>
      </x:c>
      <x:c r="S106" s="24" t="n">
        <x:v>0.050000000000000044</x:v>
      </x:c>
      <x:c r="T106" s="20" t="n">
        <x:v>1.5</x:v>
      </x:c>
      <x:c r="U106" s="22" t="n">
        <x:v>1624.7200498453033</x:v>
      </x:c>
      <x:c r="V106" s="22" t="n">
        <x:v>7379.442174196206</x:v>
      </x:c>
      <x:c r="W106" s="22" t="n">
        <x:v>62745.07150148026</x:v>
      </x:c>
      <x:c r="X106" s="22" t="n">
        <x:v>54850.36055255402</x:v>
      </x:c>
      <x:c r="Y106" s="22" t="n">
        <x:v>1287.9397028661087</x:v>
      </x:c>
      <x:c r="Z106" s="22" t="n">
        <x:v>0</x:v>
      </x:c>
      <x:c r="AA106" s="22" t="n">
        <x:v>0</x:v>
      </x:c>
      <x:c r="AB106" s="22" t="n">
        <x:v>54850.36055255402</x:v>
      </x:c>
      <x:c r="AC106" s="22" t="n">
        <x:v>1287.9397028661087</x:v>
      </x:c>
      <x:c r="AD106" s="18" t="n">
        <x:v>0</x:v>
      </x:c>
      <x:c r="AE106" s="18" t="n">
        <x:v>0</x:v>
      </x:c>
      <x:c r="AF106" s="18" t="n">
        <x:v>0</x:v>
      </x:c>
      <x:c r="AG106" s="18" t="n">
        <x:v>0</x:v>
      </x:c>
      <x:c r="AH106" s="18" t="n">
        <x:v>0</x:v>
      </x:c>
      <x:c r="AI106" s="18" t="n">
        <x:v>0</x:v>
      </x:c>
      <x:c r="AJ106" s="18" t="n">
        <x:v>0</x:v>
      </x:c>
      <x:c r="AK106" s="18" t="n">
        <x:v>0</x:v>
      </x:c>
      <x:c r="AL106" s="22" t="n">
        <x:v>111.91867185862138</x:v>
      </x:c>
      <x:c r="AM106" s="22" t="n">
        <x:v>11.9949084030712</x:v>
      </x:c>
      <x:c r="AN106" s="22" t="n">
        <x:v>34.23740047332002</x:v>
      </x:c>
      <x:c r="AO106" s="22" t="n">
        <x:v>2.853116706110002</x:v>
      </x:c>
      <x:c r="AP106" s="22" t="n">
        <x:v>37.887335141397024</x:v>
      </x:c>
      <x:c r="AQ106" s="18" t="n">
        <x:v>228</x:v>
      </x:c>
      <x:c r="AR106" s="18" t="n">
        <x:v>38</x:v>
      </x:c>
      <x:c r="AS106" s="18" t="n">
        <x:v>-1</x:v>
      </x:c>
      <x:c r="AT106" s="18" t="n">
        <x:v>0</x:v>
      </x:c>
    </x:row>
    <x:row r="107" ht="25" customHeight="1">
      <x:c r="A107" s="19" t="str">
        <x:v>no_purchases</x:v>
      </x:c>
      <x:c r="B107" s="19" t="n">
        <x:v>20</x:v>
      </x:c>
      <x:c r="C107" s="19" t="n">
        <x:v>1</x:v>
      </x:c>
      <x:c r="D107" s="19" t="n">
        <x:v>14</x:v>
      </x:c>
      <x:c r="E107" s="19" t="n">
        <x:v>15</x:v>
      </x:c>
      <x:c r="F107" s="19" t="n">
        <x:v>46</x:v>
      </x:c>
      <x:c r="G107" s="19" t="n">
        <x:v>1787</x:v>
      </x:c>
      <x:c r="H107" s="19" t="n">
        <x:v>317</x:v>
      </x:c>
      <x:c r="I107" s="21" t="n">
        <x:v>481.20056762511484</x:v>
      </x:c>
      <x:c r="J107" s="21" t="n">
        <x:v>4.35</x:v>
      </x:c>
      <x:c r="K107" s="19" t="n">
        <x:v>0</x:v>
      </x:c>
      <x:c r="L107" s="19" t="n">
        <x:v>0</x:v>
      </x:c>
      <x:c r="M107" s="19" t="n">
        <x:v>8</x:v>
      </x:c>
      <x:c r="N107" s="19" t="n">
        <x:v>1</x:v>
      </x:c>
      <x:c r="O107" s="23" t="n">
        <x:v>234.50556172930098</x:v>
      </x:c>
      <x:c r="P107" s="23" t="n">
        <x:v>32.667238030821984</x:v>
      </x:c>
      <x:c r="Q107" s="23" t="n">
        <x:v>27.358982201751775</x:v>
      </x:c>
      <x:c r="R107" s="23" t="n">
        <x:v>28.042956756795572</x:v>
      </x:c>
      <x:c r="S107" s="25" t="n">
        <x:v>0.050000000000000044</x:v>
      </x:c>
      <x:c r="T107" s="21" t="n">
        <x:v>1.5</x:v>
      </x:c>
      <x:c r="U107" s="23" t="n">
        <x:v>2736.6877537372266</x:v>
      </x:c>
      <x:c r="V107" s="23" t="n">
        <x:v>7379.442174196206</x:v>
      </x:c>
      <x:c r="W107" s="23" t="n">
        <x:v>63857.039205372195</x:v>
      </x:c>
      <x:c r="X107" s="23" t="n">
        <x:v>56631.167603652146</x:v>
      </x:c>
      <x:c r="Y107" s="23" t="n">
        <x:v>1296.108345431124</x:v>
      </x:c>
      <x:c r="Z107" s="23" t="n">
        <x:v>0</x:v>
      </x:c>
      <x:c r="AA107" s="23" t="n">
        <x:v>0</x:v>
      </x:c>
      <x:c r="AB107" s="23" t="n">
        <x:v>56631.167603652146</x:v>
      </x:c>
      <x:c r="AC107" s="23" t="n">
        <x:v>1296.108345431124</x:v>
      </x:c>
      <x:c r="AD107" s="19" t="n">
        <x:v>0</x:v>
      </x:c>
      <x:c r="AE107" s="19" t="n">
        <x:v>0</x:v>
      </x:c>
      <x:c r="AF107" s="19" t="n">
        <x:v>0</x:v>
      </x:c>
      <x:c r="AG107" s="19" t="n">
        <x:v>0</x:v>
      </x:c>
      <x:c r="AH107" s="19" t="n">
        <x:v>0</x:v>
      </x:c>
      <x:c r="AI107" s="19" t="n">
        <x:v>0</x:v>
      </x:c>
      <x:c r="AJ107" s="19" t="n">
        <x:v>0</x:v>
      </x:c>
      <x:c r="AK107" s="19" t="n">
        <x:v>0</x:v>
      </x:c>
      <x:c r="AL107" s="23" t="n">
        <x:v>130.54193885589595</x:v>
      </x:c>
      <x:c r="AM107" s="23" t="n">
        <x:v>13.604924983473428</x:v>
      </x:c>
      <x:c r="AN107" s="23" t="n">
        <x:v>41.427254572717224</x:v>
      </x:c>
      <x:c r="AO107" s="23" t="n">
        <x:v>3.4522712143931034</x:v>
      </x:c>
      <x:c r="AP107" s="23" t="n">
        <x:v>43.37721000338547</x:v>
      </x:c>
      <x:c r="AQ107" s="19" t="n">
        <x:v>220</x:v>
      </x:c>
      <x:c r="AR107" s="19" t="n">
        <x:v>42</x:v>
      </x:c>
      <x:c r="AS107" s="19" t="n">
        <x:v>1</x:v>
      </x:c>
      <x:c r="AT107" s="19" t="n">
        <x:v>1</x:v>
      </x:c>
    </x:row>
    <x:row r="108" ht="25" customHeight="1">
      <x:c r="A108" s="18" t="str">
        <x:v>no_purchases</x:v>
      </x:c>
      <x:c r="B108" s="18" t="n">
        <x:v>1</x:v>
      </x:c>
      <x:c r="C108" s="18" t="n">
        <x:v>2</x:v>
      </x:c>
      <x:c r="D108" s="18" t="n">
        <x:v>15</x:v>
      </x:c>
      <x:c r="E108" s="18" t="n">
        <x:v>16</x:v>
      </x:c>
      <x:c r="F108" s="18" t="n">
        <x:v>53</x:v>
      </x:c>
      <x:c r="G108" s="18" t="n">
        <x:v>3597</x:v>
      </x:c>
      <x:c r="H108" s="18" t="n">
        <x:v>634</x:v>
      </x:c>
      <x:c r="I108" s="20" t="n">
        <x:v>686.515043727084</x:v>
      </x:c>
      <x:c r="J108" s="20" t="n">
        <x:v>4.35</x:v>
      </x:c>
      <x:c r="K108" s="18" t="n">
        <x:v>0</x:v>
      </x:c>
      <x:c r="L108" s="18" t="n">
        <x:v>0</x:v>
      </x:c>
      <x:c r="M108" s="18" t="n">
        <x:v>16</x:v>
      </x:c>
      <x:c r="N108" s="18" t="n">
        <x:v>4</x:v>
      </x:c>
      <x:c r="O108" s="22" t="n">
        <x:v>260.26480473243896</x:v>
      </x:c>
      <x:c r="P108" s="22" t="n">
        <x:v>129.86159876584634</x:v>
      </x:c>
      <x:c r="Q108" s="22" t="n">
        <x:v>30.364227218784535</x:v>
      </x:c>
      <x:c r="R108" s="22" t="n">
        <x:v>31.123332899254155</x:v>
      </x:c>
      <x:c r="S108" s="24" t="n">
        <x:v>0.050000000000000044</x:v>
      </x:c>
      <x:c r="T108" s="20" t="n">
        <x:v>1.5</x:v>
      </x:c>
      <x:c r="U108" s="22" t="n">
        <x:v>3166.65673838901</x:v>
      </x:c>
      <x:c r="V108" s="22" t="n">
        <x:v>16313.595611523853</x:v>
      </x:c>
      <x:c r="W108" s="22" t="n">
        <x:v>138738.2868344214</x:v>
      </x:c>
      <x:c r="X108" s="22" t="n">
        <x:v>126836.88351920679</x:v>
      </x:c>
      <x:c r="Y108" s="22" t="n">
        <x:v>3046.272031356193</x:v>
      </x:c>
      <x:c r="Z108" s="22" t="n">
        <x:v>0</x:v>
      </x:c>
      <x:c r="AA108" s="22" t="n">
        <x:v>0</x:v>
      </x:c>
      <x:c r="AB108" s="22" t="n">
        <x:v>126836.88351920679</x:v>
      </x:c>
      <x:c r="AC108" s="22" t="n">
        <x:v>3046.272031356193</x:v>
      </x:c>
      <x:c r="AD108" s="18" t="n">
        <x:v>0</x:v>
      </x:c>
      <x:c r="AE108" s="18" t="n">
        <x:v>0</x:v>
      </x:c>
      <x:c r="AF108" s="18" t="n">
        <x:v>0</x:v>
      </x:c>
      <x:c r="AG108" s="18" t="n">
        <x:v>0</x:v>
      </x:c>
      <x:c r="AH108" s="18" t="n">
        <x:v>0</x:v>
      </x:c>
      <x:c r="AI108" s="18" t="n">
        <x:v>0</x:v>
      </x:c>
      <x:c r="AJ108" s="18" t="n">
        <x:v>0</x:v>
      </x:c>
      <x:c r="AK108" s="18" t="n">
        <x:v>0</x:v>
      </x:c>
      <x:c r="AL108" s="22" t="n">
        <x:v>140.98529396436768</x:v>
      </x:c>
      <x:c r="AM108" s="22" t="n">
        <x:v>14.489245107399203</x:v>
      </x:c>
      <x:c r="AN108" s="22" t="n">
        <x:v>45.569980029988955</x:v>
      </x:c>
      <x:c r="AO108" s="22" t="n">
        <x:v>3.7974983358324135</x:v>
      </x:c>
      <x:c r="AP108" s="22" t="n">
        <x:v>46.413614703622436</x:v>
      </x:c>
      <x:c r="AQ108" s="18" t="n">
        <x:v>221</x:v>
      </x:c>
      <x:c r="AR108" s="18" t="n">
        <x:v>41</x:v>
      </x:c>
      <x:c r="AS108" s="18" t="n">
        <x:v>1</x:v>
      </x:c>
      <x:c r="AT108" s="18" t="n">
        <x:v>1</x:v>
      </x:c>
    </x:row>
    <x:row r="109" ht="25" customHeight="1">
      <x:c r="A109" s="19" t="str">
        <x:v>no_purchases</x:v>
      </x:c>
      <x:c r="B109" s="19" t="n">
        <x:v>2</x:v>
      </x:c>
      <x:c r="C109" s="19" t="n">
        <x:v>2</x:v>
      </x:c>
      <x:c r="D109" s="19" t="n">
        <x:v>15</x:v>
      </x:c>
      <x:c r="E109" s="19" t="n">
        <x:v>16</x:v>
      </x:c>
      <x:c r="F109" s="19" t="n">
        <x:v>53</x:v>
      </x:c>
      <x:c r="G109" s="19" t="n">
        <x:v>3572</x:v>
      </x:c>
      <x:c r="H109" s="19" t="n">
        <x:v>640</x:v>
      </x:c>
      <x:c r="I109" s="21" t="n">
        <x:v>638.208325142698</x:v>
      </x:c>
      <x:c r="J109" s="21" t="n">
        <x:v>4.35</x:v>
      </x:c>
      <x:c r="K109" s="19" t="n">
        <x:v>0</x:v>
      </x:c>
      <x:c r="L109" s="19" t="n">
        <x:v>0</x:v>
      </x:c>
      <x:c r="M109" s="19" t="n">
        <x:v>16</x:v>
      </x:c>
      <x:c r="N109" s="19" t="n">
        <x:v>1</x:v>
      </x:c>
      <x:c r="O109" s="23" t="n">
        <x:v>260.26480473243896</x:v>
      </x:c>
      <x:c r="P109" s="23" t="n">
        <x:v>216.79706941024136</x:v>
      </x:c>
      <x:c r="Q109" s="23" t="n">
        <x:v>30.364227218784535</x:v>
      </x:c>
      <x:c r="R109" s="23" t="n">
        <x:v>31.123332899254155</x:v>
      </x:c>
      <x:c r="S109" s="25" t="n">
        <x:v>0.050000000000000044</x:v>
      </x:c>
      <x:c r="T109" s="21" t="n">
        <x:v>1.5</x:v>
      </x:c>
      <x:c r="U109" s="23" t="n">
        <x:v>4138.503460437732</x:v>
      </x:c>
      <x:c r="V109" s="23" t="n">
        <x:v>16313.595611523853</x:v>
      </x:c>
      <x:c r="W109" s="23" t="n">
        <x:v>139710.13355647007</x:v>
      </x:c>
      <x:c r="X109" s="23" t="n">
        <x:v>128498.18026968856</x:v>
      </x:c>
      <x:c r="Y109" s="23" t="n">
        <x:v>2954.726658466201</x:v>
      </x:c>
      <x:c r="Z109" s="23" t="n">
        <x:v>0</x:v>
      </x:c>
      <x:c r="AA109" s="23" t="n">
        <x:v>0</x:v>
      </x:c>
      <x:c r="AB109" s="23" t="n">
        <x:v>128498.18026968856</x:v>
      </x:c>
      <x:c r="AC109" s="23" t="n">
        <x:v>2954.726658466201</x:v>
      </x:c>
      <x:c r="AD109" s="19" t="n">
        <x:v>0</x:v>
      </x:c>
      <x:c r="AE109" s="19" t="n">
        <x:v>0</x:v>
      </x:c>
      <x:c r="AF109" s="19" t="n">
        <x:v>0</x:v>
      </x:c>
      <x:c r="AG109" s="19" t="n">
        <x:v>0</x:v>
      </x:c>
      <x:c r="AH109" s="19" t="n">
        <x:v>0</x:v>
      </x:c>
      <x:c r="AI109" s="19" t="n">
        <x:v>0</x:v>
      </x:c>
      <x:c r="AJ109" s="19" t="n">
        <x:v>0</x:v>
      </x:c>
      <x:c r="AK109" s="19" t="n">
        <x:v>0</x:v>
      </x:c>
      <x:c r="AL109" s="23" t="n">
        <x:v>140.98529396436768</x:v>
      </x:c>
      <x:c r="AM109" s="23" t="n">
        <x:v>14.489245107399203</x:v>
      </x:c>
      <x:c r="AN109" s="23" t="n">
        <x:v>45.569980029988955</x:v>
      </x:c>
      <x:c r="AO109" s="23" t="n">
        <x:v>3.7974983358324135</x:v>
      </x:c>
      <x:c r="AP109" s="23" t="n">
        <x:v>46.413614703622436</x:v>
      </x:c>
      <x:c r="AQ109" s="19" t="n">
        <x:v>216</x:v>
      </x:c>
      <x:c r="AR109" s="19" t="n">
        <x:v>43</x:v>
      </x:c>
      <x:c r="AS109" s="19" t="n">
        <x:v>0</x:v>
      </x:c>
      <x:c r="AT109" s="19" t="n">
        <x:v>0</x:v>
      </x:c>
    </x:row>
    <x:row r="110" ht="25" customHeight="1">
      <x:c r="A110" s="18" t="str">
        <x:v>no_purchases</x:v>
      </x:c>
      <x:c r="B110" s="18" t="n">
        <x:v>3</x:v>
      </x:c>
      <x:c r="C110" s="18" t="n">
        <x:v>2</x:v>
      </x:c>
      <x:c r="D110" s="18" t="n">
        <x:v>14</x:v>
      </x:c>
      <x:c r="E110" s="18" t="n">
        <x:v>15</x:v>
      </x:c>
      <x:c r="F110" s="18" t="n">
        <x:v>53</x:v>
      </x:c>
      <x:c r="G110" s="18" t="n">
        <x:v>3657</x:v>
      </x:c>
      <x:c r="H110" s="18" t="n">
        <x:v>609</x:v>
      </x:c>
      <x:c r="I110" s="20" t="n">
        <x:v>485.5361390886623</x:v>
      </x:c>
      <x:c r="J110" s="20" t="n">
        <x:v>4.35</x:v>
      </x:c>
      <x:c r="K110" s="18" t="n">
        <x:v>0</x:v>
      </x:c>
      <x:c r="L110" s="18" t="n">
        <x:v>0</x:v>
      </x:c>
      <x:c r="M110" s="18" t="n">
        <x:v>16</x:v>
      </x:c>
      <x:c r="N110" s="18" t="n">
        <x:v>3</x:v>
      </x:c>
      <x:c r="O110" s="22" t="n">
        <x:v>260.26480473243896</x:v>
      </x:c>
      <x:c r="P110" s="22" t="n">
        <x:v>131.0180173894412</x:v>
      </x:c>
      <x:c r="Q110" s="22" t="n">
        <x:v>30.364227218784535</x:v>
      </x:c>
      <x:c r="R110" s="22" t="n">
        <x:v>31.123332899254155</x:v>
      </x:c>
      <x:c r="S110" s="24" t="n">
        <x:v>0.050000000000000044</x:v>
      </x:c>
      <x:c r="T110" s="20" t="n">
        <x:v>1.5</x:v>
      </x:c>
      <x:c r="U110" s="22" t="n">
        <x:v>913.5441341982331</x:v>
      </x:c>
      <x:c r="V110" s="22" t="n">
        <x:v>16313.595611523853</x:v>
      </x:c>
      <x:c r="W110" s="22" t="n">
        <x:v>136485.17423023054</x:v>
      </x:c>
      <x:c r="X110" s="22" t="n">
        <x:v>123212.08930499622</x:v>
      </x:c>
      <x:c r="Y110" s="22" t="n">
        <x:v>2895.971840938205</x:v>
      </x:c>
      <x:c r="Z110" s="22" t="n">
        <x:v>0</x:v>
      </x:c>
      <x:c r="AA110" s="22" t="n">
        <x:v>0</x:v>
      </x:c>
      <x:c r="AB110" s="22" t="n">
        <x:v>123212.08930499622</x:v>
      </x:c>
      <x:c r="AC110" s="22" t="n">
        <x:v>2895.971840938205</x:v>
      </x:c>
      <x:c r="AD110" s="18" t="n">
        <x:v>0</x:v>
      </x:c>
      <x:c r="AE110" s="18" t="n">
        <x:v>0</x:v>
      </x:c>
      <x:c r="AF110" s="18" t="n">
        <x:v>0</x:v>
      </x:c>
      <x:c r="AG110" s="18" t="n">
        <x:v>0</x:v>
      </x:c>
      <x:c r="AH110" s="18" t="n">
        <x:v>0</x:v>
      </x:c>
      <x:c r="AI110" s="18" t="n">
        <x:v>0</x:v>
      </x:c>
      <x:c r="AJ110" s="18" t="n">
        <x:v>0</x:v>
      </x:c>
      <x:c r="AK110" s="18" t="n">
        <x:v>0</x:v>
      </x:c>
      <x:c r="AL110" s="22" t="n">
        <x:v>130.54193885589595</x:v>
      </x:c>
      <x:c r="AM110" s="22" t="n">
        <x:v>13.604924983473428</x:v>
      </x:c>
      <x:c r="AN110" s="22" t="n">
        <x:v>41.427254572717224</x:v>
      </x:c>
      <x:c r="AO110" s="22" t="n">
        <x:v>3.4522712143931034</x:v>
      </x:c>
      <x:c r="AP110" s="22" t="n">
        <x:v>43.37721000338547</x:v>
      </x:c>
      <x:c r="AQ110" s="18" t="n">
        <x:v>225</x:v>
      </x:c>
      <x:c r="AR110" s="18" t="n">
        <x:v>40</x:v>
      </x:c>
      <x:c r="AS110" s="18" t="n">
        <x:v>0</x:v>
      </x:c>
      <x:c r="AT110" s="18" t="n">
        <x:v>0</x:v>
      </x:c>
    </x:row>
    <x:row r="111" ht="25" customHeight="1">
      <x:c r="A111" s="19" t="str">
        <x:v>no_purchases</x:v>
      </x:c>
      <x:c r="B111" s="19" t="n">
        <x:v>4</x:v>
      </x:c>
      <x:c r="C111" s="19" t="n">
        <x:v>2</x:v>
      </x:c>
      <x:c r="D111" s="19" t="n">
        <x:v>14</x:v>
      </x:c>
      <x:c r="E111" s="19" t="n">
        <x:v>15</x:v>
      </x:c>
      <x:c r="F111" s="19" t="n">
        <x:v>53</x:v>
      </x:c>
      <x:c r="G111" s="19" t="n">
        <x:v>3558</x:v>
      </x:c>
      <x:c r="H111" s="19" t="n">
        <x:v>649</x:v>
      </x:c>
      <x:c r="I111" s="21" t="n">
        <x:v>436.6910938417566</x:v>
      </x:c>
      <x:c r="J111" s="21" t="n">
        <x:v>4.35</x:v>
      </x:c>
      <x:c r="K111" s="19" t="n">
        <x:v>0</x:v>
      </x:c>
      <x:c r="L111" s="19" t="n">
        <x:v>0</x:v>
      </x:c>
      <x:c r="M111" s="19" t="n">
        <x:v>16</x:v>
      </x:c>
      <x:c r="N111" s="19" t="n">
        <x:v>1</x:v>
      </x:c>
      <x:c r="O111" s="23" t="n">
        <x:v>260.26480473243896</x:v>
      </x:c>
      <x:c r="P111" s="23" t="n">
        <x:v>260.26480473243896</x:v>
      </x:c>
      <x:c r="Q111" s="23" t="n">
        <x:v>30.364227218784535</x:v>
      </x:c>
      <x:c r="R111" s="23" t="n">
        <x:v>31.123332899254155</x:v>
      </x:c>
      <x:c r="S111" s="25" t="n">
        <x:v>0.050000000000000044</x:v>
      </x:c>
      <x:c r="T111" s="21" t="n">
        <x:v>1.5</x:v>
      </x:c>
      <x:c r="U111" s="23" t="n">
        <x:v>4662.6767802943805</x:v>
      </x:c>
      <x:c r="V111" s="23" t="n">
        <x:v>16313.595611523853</x:v>
      </x:c>
      <x:c r="W111" s="23" t="n">
        <x:v>140234.30687632662</x:v>
      </x:c>
      <x:c r="X111" s="23" t="n">
        <x:v>129283.67860527457</x:v>
      </x:c>
      <x:c r="Y111" s="23" t="n">
        <x:v>3014.42232990234</x:v>
      </x:c>
      <x:c r="Z111" s="23" t="n">
        <x:v>0</x:v>
      </x:c>
      <x:c r="AA111" s="23" t="n">
        <x:v>0</x:v>
      </x:c>
      <x:c r="AB111" s="23" t="n">
        <x:v>129283.67860527457</x:v>
      </x:c>
      <x:c r="AC111" s="23" t="n">
        <x:v>3014.42232990234</x:v>
      </x:c>
      <x:c r="AD111" s="19" t="n">
        <x:v>0</x:v>
      </x:c>
      <x:c r="AE111" s="19" t="n">
        <x:v>0</x:v>
      </x:c>
      <x:c r="AF111" s="19" t="n">
        <x:v>0</x:v>
      </x:c>
      <x:c r="AG111" s="19" t="n">
        <x:v>0</x:v>
      </x:c>
      <x:c r="AH111" s="19" t="n">
        <x:v>0</x:v>
      </x:c>
      <x:c r="AI111" s="19" t="n">
        <x:v>0</x:v>
      </x:c>
      <x:c r="AJ111" s="19" t="n">
        <x:v>0</x:v>
      </x:c>
      <x:c r="AK111" s="19" t="n">
        <x:v>0</x:v>
      </x:c>
      <x:c r="AL111" s="23" t="n">
        <x:v>130.54193885589595</x:v>
      </x:c>
      <x:c r="AM111" s="23" t="n">
        <x:v>13.604924983473428</x:v>
      </x:c>
      <x:c r="AN111" s="23" t="n">
        <x:v>41.427254572717224</x:v>
      </x:c>
      <x:c r="AO111" s="23" t="n">
        <x:v>3.4522712143931034</x:v>
      </x:c>
      <x:c r="AP111" s="23" t="n">
        <x:v>43.37721000338547</x:v>
      </x:c>
      <x:c r="AQ111" s="19" t="n">
        <x:v>227</x:v>
      </x:c>
      <x:c r="AR111" s="19" t="n">
        <x:v>39</x:v>
      </x:c>
      <x:c r="AS111" s="19" t="n">
        <x:v>0</x:v>
      </x:c>
      <x:c r="AT111" s="19" t="n">
        <x:v>0</x:v>
      </x:c>
    </x:row>
    <x:row r="112" ht="25" customHeight="1">
      <x:c r="A112" s="18" t="str">
        <x:v>no_purchases</x:v>
      </x:c>
      <x:c r="B112" s="18" t="n">
        <x:v>5</x:v>
      </x:c>
      <x:c r="C112" s="18" t="n">
        <x:v>2</x:v>
      </x:c>
      <x:c r="D112" s="18" t="n">
        <x:v>13</x:v>
      </x:c>
      <x:c r="E112" s="18" t="n">
        <x:v>14</x:v>
      </x:c>
      <x:c r="F112" s="18" t="n">
        <x:v>53</x:v>
      </x:c>
      <x:c r="G112" s="18" t="n">
        <x:v>3615</x:v>
      </x:c>
      <x:c r="H112" s="18" t="n">
        <x:v>621</x:v>
      </x:c>
      <x:c r="I112" s="20" t="n">
        <x:v>72.18592068151901</x:v>
      </x:c>
      <x:c r="J112" s="20" t="n">
        <x:v>4.35</x:v>
      </x:c>
      <x:c r="K112" s="18" t="n">
        <x:v>0</x:v>
      </x:c>
      <x:c r="L112" s="18" t="n">
        <x:v>0</x:v>
      </x:c>
      <x:c r="M112" s="18" t="n">
        <x:v>16</x:v>
      </x:c>
      <x:c r="N112" s="18" t="n">
        <x:v>2</x:v>
      </x:c>
      <x:c r="O112" s="22" t="n">
        <x:v>260.26480473243896</x:v>
      </x:c>
      <x:c r="P112" s="22" t="n">
        <x:v>221.94107238462644</x:v>
      </x:c>
      <x:c r="Q112" s="22" t="n">
        <x:v>30.364227218784535</x:v>
      </x:c>
      <x:c r="R112" s="22" t="n">
        <x:v>31.123332899254155</x:v>
      </x:c>
      <x:c r="S112" s="24" t="n">
        <x:v>0.050000000000000044</x:v>
      </x:c>
      <x:c r="T112" s="20" t="n">
        <x:v>1.5</x:v>
      </x:c>
      <x:c r="U112" s="22" t="n">
        <x:v>2295.8826864604957</x:v>
      </x:c>
      <x:c r="V112" s="22" t="n">
        <x:v>16313.595611523853</x:v>
      </x:c>
      <x:c r="W112" s="22" t="n">
        <x:v>137867.51278249265</x:v>
      </x:c>
      <x:c r="X112" s="22" t="n">
        <x:v>125261.0433300829</x:v>
      </x:c>
      <x:c r="Y112" s="22" t="n">
        <x:v>2927.104708874731</x:v>
      </x:c>
      <x:c r="Z112" s="22" t="n">
        <x:v>0</x:v>
      </x:c>
      <x:c r="AA112" s="22" t="n">
        <x:v>0</x:v>
      </x:c>
      <x:c r="AB112" s="22" t="n">
        <x:v>125261.0433300829</x:v>
      </x:c>
      <x:c r="AC112" s="22" t="n">
        <x:v>2927.104708874731</x:v>
      </x:c>
      <x:c r="AD112" s="18" t="n">
        <x:v>0</x:v>
      </x:c>
      <x:c r="AE112" s="18" t="n">
        <x:v>0</x:v>
      </x:c>
      <x:c r="AF112" s="18" t="n">
        <x:v>0</x:v>
      </x:c>
      <x:c r="AG112" s="18" t="n">
        <x:v>0</x:v>
      </x:c>
      <x:c r="AH112" s="18" t="n">
        <x:v>0</x:v>
      </x:c>
      <x:c r="AI112" s="18" t="n">
        <x:v>0</x:v>
      </x:c>
      <x:c r="AJ112" s="18" t="n">
        <x:v>0</x:v>
      </x:c>
      <x:c r="AK112" s="18" t="n">
        <x:v>0</x:v>
      </x:c>
      <x:c r="AL112" s="22" t="n">
        <x:v>120.87216560731102</x:v>
      </x:c>
      <x:c r="AM112" s="22" t="n">
        <x:v>12.77457744927083</x:v>
      </x:c>
      <x:c r="AN112" s="22" t="n">
        <x:v>37.66114052065201</x:v>
      </x:c>
      <x:c r="AO112" s="22" t="n">
        <x:v>3.1384283767210026</x:v>
      </x:c>
      <x:c r="AP112" s="22" t="n">
        <x:v>40.53944860129482</x:v>
      </x:c>
      <x:c r="AQ112" s="18" t="n">
        <x:v>230</x:v>
      </x:c>
      <x:c r="AR112" s="18" t="n">
        <x:v>39</x:v>
      </x:c>
      <x:c r="AS112" s="18" t="n">
        <x:v>-1</x:v>
      </x:c>
      <x:c r="AT112" s="18" t="n">
        <x:v>0</x:v>
      </x:c>
    </x:row>
    <x:row r="113" ht="25" customHeight="1">
      <x:c r="A113" s="19" t="str">
        <x:v>no_purchases</x:v>
      </x:c>
      <x:c r="B113" s="19" t="n">
        <x:v>6</x:v>
      </x:c>
      <x:c r="C113" s="19" t="n">
        <x:v>2</x:v>
      </x:c>
      <x:c r="D113" s="19" t="n">
        <x:v>15</x:v>
      </x:c>
      <x:c r="E113" s="19" t="n">
        <x:v>15</x:v>
      </x:c>
      <x:c r="F113" s="19" t="n">
        <x:v>53</x:v>
      </x:c>
      <x:c r="G113" s="19" t="n">
        <x:v>3611</x:v>
      </x:c>
      <x:c r="H113" s="19" t="n">
        <x:v>629</x:v>
      </x:c>
      <x:c r="I113" s="21" t="n">
        <x:v>487.7096108361093</x:v>
      </x:c>
      <x:c r="J113" s="21" t="n">
        <x:v>4.35</x:v>
      </x:c>
      <x:c r="K113" s="19" t="n">
        <x:v>0</x:v>
      </x:c>
      <x:c r="L113" s="19" t="n">
        <x:v>0</x:v>
      </x:c>
      <x:c r="M113" s="19" t="n">
        <x:v>16</x:v>
      </x:c>
      <x:c r="N113" s="19" t="n">
        <x:v>1</x:v>
      </x:c>
      <x:c r="O113" s="23" t="n">
        <x:v>260.26480473243896</x:v>
      </x:c>
      <x:c r="P113" s="23" t="n">
        <x:v>1.8392546713611115</x:v>
      </x:c>
      <x:c r="Q113" s="23" t="n">
        <x:v>30.364227218784535</x:v>
      </x:c>
      <x:c r="R113" s="23" t="n">
        <x:v>31.123332899254155</x:v>
      </x:c>
      <x:c r="S113" s="25" t="n">
        <x:v>0.050000000000000044</x:v>
      </x:c>
      <x:c r="T113" s="21" t="n">
        <x:v>1.5</x:v>
      </x:c>
      <x:c r="U113" s="23" t="n">
        <x:v>3321.7816144934113</x:v>
      </x:c>
      <x:c r="V113" s="23" t="n">
        <x:v>16313.595611523853</x:v>
      </x:c>
      <x:c r="W113" s="23" t="n">
        <x:v>138893.41171052583</x:v>
      </x:c>
      <x:c r="X113" s="23" t="n">
        <x:v>126911.64525891586</x:v>
      </x:c>
      <x:c r="Y113" s="23" t="n">
        <x:v>3014.1323684648623</x:v>
      </x:c>
      <x:c r="Z113" s="23" t="n">
        <x:v>0</x:v>
      </x:c>
      <x:c r="AA113" s="23" t="n">
        <x:v>0</x:v>
      </x:c>
      <x:c r="AB113" s="23" t="n">
        <x:v>126911.64525891586</x:v>
      </x:c>
      <x:c r="AC113" s="23" t="n">
        <x:v>3014.1323684648623</x:v>
      </x:c>
      <x:c r="AD113" s="19" t="n">
        <x:v>0</x:v>
      </x:c>
      <x:c r="AE113" s="19" t="n">
        <x:v>0</x:v>
      </x:c>
      <x:c r="AF113" s="19" t="n">
        <x:v>0</x:v>
      </x:c>
      <x:c r="AG113" s="19" t="n">
        <x:v>0</x:v>
      </x:c>
      <x:c r="AH113" s="19" t="n">
        <x:v>0</x:v>
      </x:c>
      <x:c r="AI113" s="19" t="n">
        <x:v>0</x:v>
      </x:c>
      <x:c r="AJ113" s="19" t="n">
        <x:v>0</x:v>
      </x:c>
      <x:c r="AK113" s="19" t="n">
        <x:v>0</x:v>
      </x:c>
      <x:c r="AL113" s="23" t="n">
        <x:v>140.98529396436768</x:v>
      </x:c>
      <x:c r="AM113" s="23" t="n">
        <x:v>14.489245107399203</x:v>
      </x:c>
      <x:c r="AN113" s="23" t="n">
        <x:v>45.569980029988955</x:v>
      </x:c>
      <x:c r="AO113" s="23" t="n">
        <x:v>3.7974983358324135</x:v>
      </x:c>
      <x:c r="AP113" s="23" t="n">
        <x:v>46.413614703622436</x:v>
      </x:c>
      <x:c r="AQ113" s="19" t="n">
        <x:v>226</x:v>
      </x:c>
      <x:c r="AR113" s="19" t="n">
        <x:v>39</x:v>
      </x:c>
      <x:c r="AS113" s="19" t="n">
        <x:v>0</x:v>
      </x:c>
      <x:c r="AT113" s="19" t="n">
        <x:v>0</x:v>
      </x:c>
    </x:row>
    <x:row r="114" ht="25" customHeight="1">
      <x:c r="A114" s="18" t="str">
        <x:v>no_purchases</x:v>
      </x:c>
      <x:c r="B114" s="18" t="n">
        <x:v>7</x:v>
      </x:c>
      <x:c r="C114" s="18" t="n">
        <x:v>2</x:v>
      </x:c>
      <x:c r="D114" s="18" t="n">
        <x:v>15</x:v>
      </x:c>
      <x:c r="E114" s="18" t="n">
        <x:v>16</x:v>
      </x:c>
      <x:c r="F114" s="18" t="n">
        <x:v>53</x:v>
      </x:c>
      <x:c r="G114" s="18" t="n">
        <x:v>3591</x:v>
      </x:c>
      <x:c r="H114" s="18" t="n">
        <x:v>629</x:v>
      </x:c>
      <x:c r="I114" s="20" t="n">
        <x:v>157.73977677105165</x:v>
      </x:c>
      <x:c r="J114" s="20" t="n">
        <x:v>4.35</x:v>
      </x:c>
      <x:c r="K114" s="18" t="n">
        <x:v>0</x:v>
      </x:c>
      <x:c r="L114" s="18" t="n">
        <x:v>0</x:v>
      </x:c>
      <x:c r="M114" s="18" t="n">
        <x:v>16</x:v>
      </x:c>
      <x:c r="N114" s="18" t="n">
        <x:v>4</x:v>
      </x:c>
      <x:c r="O114" s="22" t="n">
        <x:v>260.26480473243896</x:v>
      </x:c>
      <x:c r="P114" s="22" t="n">
        <x:v>129.86159876584634</x:v>
      </x:c>
      <x:c r="Q114" s="22" t="n">
        <x:v>30.364227218784535</x:v>
      </x:c>
      <x:c r="R114" s="22" t="n">
        <x:v>31.123332899254155</x:v>
      </x:c>
      <x:c r="S114" s="24" t="n">
        <x:v>0.050000000000000044</x:v>
      </x:c>
      <x:c r="T114" s="20" t="n">
        <x:v>1.5</x:v>
      </x:c>
      <x:c r="U114" s="22" t="n">
        <x:v>2253.8710030017974</x:v>
      </x:c>
      <x:c r="V114" s="22" t="n">
        <x:v>16313.595611523853</x:v>
      </x:c>
      <x:c r="W114" s="22" t="n">
        <x:v>137825.50109903398</x:v>
      </x:c>
      <x:c r="X114" s="22" t="n">
        <x:v>125738.22796642655</x:v>
      </x:c>
      <x:c r="Y114" s="22" t="n">
        <x:v>2873.8238497339594</x:v>
      </x:c>
      <x:c r="Z114" s="22" t="n">
        <x:v>0</x:v>
      </x:c>
      <x:c r="AA114" s="22" t="n">
        <x:v>0</x:v>
      </x:c>
      <x:c r="AB114" s="22" t="n">
        <x:v>125738.22796642655</x:v>
      </x:c>
      <x:c r="AC114" s="22" t="n">
        <x:v>2873.8238497339594</x:v>
      </x:c>
      <x:c r="AD114" s="18" t="n">
        <x:v>0</x:v>
      </x:c>
      <x:c r="AE114" s="18" t="n">
        <x:v>0</x:v>
      </x:c>
      <x:c r="AF114" s="18" t="n">
        <x:v>0</x:v>
      </x:c>
      <x:c r="AG114" s="18" t="n">
        <x:v>0</x:v>
      </x:c>
      <x:c r="AH114" s="18" t="n">
        <x:v>0</x:v>
      </x:c>
      <x:c r="AI114" s="18" t="n">
        <x:v>0</x:v>
      </x:c>
      <x:c r="AJ114" s="18" t="n">
        <x:v>0</x:v>
      </x:c>
      <x:c r="AK114" s="18" t="n">
        <x:v>0</x:v>
      </x:c>
      <x:c r="AL114" s="22" t="n">
        <x:v>140.98529396436768</x:v>
      </x:c>
      <x:c r="AM114" s="22" t="n">
        <x:v>14.489245107399203</x:v>
      </x:c>
      <x:c r="AN114" s="22" t="n">
        <x:v>45.569980029988955</x:v>
      </x:c>
      <x:c r="AO114" s="22" t="n">
        <x:v>3.7974983358324135</x:v>
      </x:c>
      <x:c r="AP114" s="22" t="n">
        <x:v>46.413614703622436</x:v>
      </x:c>
      <x:c r="AQ114" s="18" t="n">
        <x:v>224</x:v>
      </x:c>
      <x:c r="AR114" s="18" t="n">
        <x:v>41</x:v>
      </x:c>
      <x:c r="AS114" s="18" t="n">
        <x:v>1</x:v>
      </x:c>
      <x:c r="AT114" s="18" t="n">
        <x:v>1</x:v>
      </x:c>
    </x:row>
    <x:row r="115" ht="25" customHeight="1">
      <x:c r="A115" s="19" t="str">
        <x:v>no_purchases</x:v>
      </x:c>
      <x:c r="B115" s="19" t="n">
        <x:v>8</x:v>
      </x:c>
      <x:c r="C115" s="19" t="n">
        <x:v>2</x:v>
      </x:c>
      <x:c r="D115" s="19" t="n">
        <x:v>13</x:v>
      </x:c>
      <x:c r="E115" s="19" t="n">
        <x:v>14</x:v>
      </x:c>
      <x:c r="F115" s="19" t="n">
        <x:v>53</x:v>
      </x:c>
      <x:c r="G115" s="19" t="n">
        <x:v>3580</x:v>
      </x:c>
      <x:c r="H115" s="19" t="n">
        <x:v>637</x:v>
      </x:c>
      <x:c r="I115" s="21" t="n">
        <x:v>71.20978146152316</x:v>
      </x:c>
      <x:c r="J115" s="21" t="n">
        <x:v>4.35</x:v>
      </x:c>
      <x:c r="K115" s="19" t="n">
        <x:v>0</x:v>
      </x:c>
      <x:c r="L115" s="19" t="n">
        <x:v>0</x:v>
      </x:c>
      <x:c r="M115" s="19" t="n">
        <x:v>16</x:v>
      </x:c>
      <x:c r="N115" s="19" t="n">
        <x:v>2</x:v>
      </x:c>
      <x:c r="O115" s="23" t="n">
        <x:v>260.26480473243896</x:v>
      </x:c>
      <x:c r="P115" s="23" t="n">
        <x:v>221.94107238462644</x:v>
      </x:c>
      <x:c r="Q115" s="23" t="n">
        <x:v>30.364227218784535</x:v>
      </x:c>
      <x:c r="R115" s="23" t="n">
        <x:v>31.123332899254155</x:v>
      </x:c>
      <x:c r="S115" s="25" t="n">
        <x:v>0.050000000000000044</x:v>
      </x:c>
      <x:c r="T115" s="21" t="n">
        <x:v>1.5</x:v>
      </x:c>
      <x:c r="U115" s="23" t="n">
        <x:v>3031.589304722043</x:v>
      </x:c>
      <x:c r="V115" s="23" t="n">
        <x:v>16313.595611523853</x:v>
      </x:c>
      <x:c r="W115" s="23" t="n">
        <x:v>138603.2194007543</x:v>
      </x:c>
      <x:c r="X115" s="23" t="n">
        <x:v>126737.12566309808</x:v>
      </x:c>
      <x:c r="Y115" s="23" t="n">
        <x:v>2919.7657503814758</x:v>
      </x:c>
      <x:c r="Z115" s="23" t="n">
        <x:v>0</x:v>
      </x:c>
      <x:c r="AA115" s="23" t="n">
        <x:v>0</x:v>
      </x:c>
      <x:c r="AB115" s="23" t="n">
        <x:v>126737.12566309808</x:v>
      </x:c>
      <x:c r="AC115" s="23" t="n">
        <x:v>2919.7657503814758</x:v>
      </x:c>
      <x:c r="AD115" s="19" t="n">
        <x:v>0</x:v>
      </x:c>
      <x:c r="AE115" s="19" t="n">
        <x:v>0</x:v>
      </x:c>
      <x:c r="AF115" s="19" t="n">
        <x:v>0</x:v>
      </x:c>
      <x:c r="AG115" s="19" t="n">
        <x:v>0</x:v>
      </x:c>
      <x:c r="AH115" s="19" t="n">
        <x:v>0</x:v>
      </x:c>
      <x:c r="AI115" s="19" t="n">
        <x:v>0</x:v>
      </x:c>
      <x:c r="AJ115" s="19" t="n">
        <x:v>0</x:v>
      </x:c>
      <x:c r="AK115" s="19" t="n">
        <x:v>0</x:v>
      </x:c>
      <x:c r="AL115" s="23" t="n">
        <x:v>120.87216560731102</x:v>
      </x:c>
      <x:c r="AM115" s="23" t="n">
        <x:v>12.77457744927083</x:v>
      </x:c>
      <x:c r="AN115" s="23" t="n">
        <x:v>37.66114052065201</x:v>
      </x:c>
      <x:c r="AO115" s="23" t="n">
        <x:v>3.1384283767210026</x:v>
      </x:c>
      <x:c r="AP115" s="23" t="n">
        <x:v>40.53944860129482</x:v>
      </x:c>
      <x:c r="AQ115" s="19" t="n">
        <x:v>229</x:v>
      </x:c>
      <x:c r="AR115" s="19" t="n">
        <x:v>38</x:v>
      </x:c>
      <x:c r="AS115" s="19" t="n">
        <x:v>0</x:v>
      </x:c>
      <x:c r="AT115" s="19" t="n">
        <x:v>0</x:v>
      </x:c>
    </x:row>
    <x:row r="116" ht="25" customHeight="1">
      <x:c r="A116" s="18" t="str">
        <x:v>no_purchases</x:v>
      </x:c>
      <x:c r="B116" s="18" t="n">
        <x:v>9</x:v>
      </x:c>
      <x:c r="C116" s="18" t="n">
        <x:v>2</x:v>
      </x:c>
      <x:c r="D116" s="18" t="n">
        <x:v>13</x:v>
      </x:c>
      <x:c r="E116" s="18" t="n">
        <x:v>14</x:v>
      </x:c>
      <x:c r="F116" s="18" t="n">
        <x:v>53</x:v>
      </x:c>
      <x:c r="G116" s="18" t="n">
        <x:v>3588</x:v>
      </x:c>
      <x:c r="H116" s="18" t="n">
        <x:v>633</x:v>
      </x:c>
      <x:c r="I116" s="20" t="n">
        <x:v>72.25907219573668</x:v>
      </x:c>
      <x:c r="J116" s="20" t="n">
        <x:v>4.35</x:v>
      </x:c>
      <x:c r="K116" s="18" t="n">
        <x:v>0</x:v>
      </x:c>
      <x:c r="L116" s="18" t="n">
        <x:v>0</x:v>
      </x:c>
      <x:c r="M116" s="18" t="n">
        <x:v>16</x:v>
      </x:c>
      <x:c r="N116" s="18" t="n">
        <x:v>2</x:v>
      </x:c>
      <x:c r="O116" s="22" t="n">
        <x:v>260.26480473243896</x:v>
      </x:c>
      <x:c r="P116" s="22" t="n">
        <x:v>221.94107238462644</x:v>
      </x:c>
      <x:c r="Q116" s="22" t="n">
        <x:v>30.364227218784535</x:v>
      </x:c>
      <x:c r="R116" s="22" t="n">
        <x:v>31.123332899254155</x:v>
      </x:c>
      <x:c r="S116" s="24" t="n">
        <x:v>0.050000000000000044</x:v>
      </x:c>
      <x:c r="T116" s="20" t="n">
        <x:v>1.5</x:v>
      </x:c>
      <x:c r="U116" s="22" t="n">
        <x:v>2281.221389310697</x:v>
      </x:c>
      <x:c r="V116" s="22" t="n">
        <x:v>16313.595611523853</x:v>
      </x:c>
      <x:c r="W116" s="22" t="n">
        <x:v>137852.85148534295</x:v>
      </x:c>
      <x:c r="X116" s="22" t="n">
        <x:v>125664.11534082392</x:v>
      </x:c>
      <x:c r="Y116" s="22" t="n">
        <x:v>2944.9951098383813</x:v>
      </x:c>
      <x:c r="Z116" s="22" t="n">
        <x:v>0</x:v>
      </x:c>
      <x:c r="AA116" s="22" t="n">
        <x:v>0</x:v>
      </x:c>
      <x:c r="AB116" s="22" t="n">
        <x:v>125664.11534082392</x:v>
      </x:c>
      <x:c r="AC116" s="22" t="n">
        <x:v>2944.9951098383813</x:v>
      </x:c>
      <x:c r="AD116" s="18" t="n">
        <x:v>0</x:v>
      </x:c>
      <x:c r="AE116" s="18" t="n">
        <x:v>0</x:v>
      </x:c>
      <x:c r="AF116" s="18" t="n">
        <x:v>0</x:v>
      </x:c>
      <x:c r="AG116" s="18" t="n">
        <x:v>0</x:v>
      </x:c>
      <x:c r="AH116" s="18" t="n">
        <x:v>0</x:v>
      </x:c>
      <x:c r="AI116" s="18" t="n">
        <x:v>0</x:v>
      </x:c>
      <x:c r="AJ116" s="18" t="n">
        <x:v>0</x:v>
      </x:c>
      <x:c r="AK116" s="18" t="n">
        <x:v>0</x:v>
      </x:c>
      <x:c r="AL116" s="22" t="n">
        <x:v>120.87216560731102</x:v>
      </x:c>
      <x:c r="AM116" s="22" t="n">
        <x:v>12.77457744927083</x:v>
      </x:c>
      <x:c r="AN116" s="22" t="n">
        <x:v>37.66114052065201</x:v>
      </x:c>
      <x:c r="AO116" s="22" t="n">
        <x:v>3.1384283767210026</x:v>
      </x:c>
      <x:c r="AP116" s="22" t="n">
        <x:v>40.53944860129482</x:v>
      </x:c>
      <x:c r="AQ116" s="18" t="n">
        <x:v>230</x:v>
      </x:c>
      <x:c r="AR116" s="18" t="n">
        <x:v>38</x:v>
      </x:c>
      <x:c r="AS116" s="18" t="n">
        <x:v>0</x:v>
      </x:c>
      <x:c r="AT116" s="18" t="n">
        <x:v>0</x:v>
      </x:c>
    </x:row>
    <x:row r="117" ht="25" customHeight="1">
      <x:c r="A117" s="19" t="str">
        <x:v>no_purchases</x:v>
      </x:c>
      <x:c r="B117" s="19" t="n">
        <x:v>10</x:v>
      </x:c>
      <x:c r="C117" s="19" t="n">
        <x:v>2</x:v>
      </x:c>
      <x:c r="D117" s="19" t="n">
        <x:v>15</x:v>
      </x:c>
      <x:c r="E117" s="19" t="n">
        <x:v>16</x:v>
      </x:c>
      <x:c r="F117" s="19" t="n">
        <x:v>53</x:v>
      </x:c>
      <x:c r="G117" s="19" t="n">
        <x:v>3570</x:v>
      </x:c>
      <x:c r="H117" s="19" t="n">
        <x:v>647</x:v>
      </x:c>
      <x:c r="I117" s="21" t="n">
        <x:v>898.9668150173408</x:v>
      </x:c>
      <x:c r="J117" s="21" t="n">
        <x:v>4.35</x:v>
      </x:c>
      <x:c r="K117" s="19" t="n">
        <x:v>0</x:v>
      </x:c>
      <x:c r="L117" s="19" t="n">
        <x:v>0</x:v>
      </x:c>
      <x:c r="M117" s="19" t="n">
        <x:v>16</x:v>
      </x:c>
      <x:c r="N117" s="19" t="n">
        <x:v>2</x:v>
      </x:c>
      <x:c r="O117" s="23" t="n">
        <x:v>260.26480473243896</x:v>
      </x:c>
      <x:c r="P117" s="23" t="n">
        <x:v>216.79706941024136</x:v>
      </x:c>
      <x:c r="Q117" s="23" t="n">
        <x:v>30.364227218784535</x:v>
      </x:c>
      <x:c r="R117" s="23" t="n">
        <x:v>31.123332899254155</x:v>
      </x:c>
      <x:c r="S117" s="25" t="n">
        <x:v>0.050000000000000044</x:v>
      </x:c>
      <x:c r="T117" s="21" t="n">
        <x:v>1.5</x:v>
      </x:c>
      <x:c r="U117" s="23" t="n">
        <x:v>4484.204115717857</x:v>
      </x:c>
      <x:c r="V117" s="23" t="n">
        <x:v>16313.595611523853</x:v>
      </x:c>
      <x:c r="W117" s="23" t="n">
        <x:v>140055.8342117502</x:v>
      </x:c>
      <x:c r="X117" s="23" t="n">
        <x:v>129123.15356536493</x:v>
      </x:c>
      <x:c r="Y117" s="23" t="n">
        <x:v>3040.467665175396</x:v>
      </x:c>
      <x:c r="Z117" s="23" t="n">
        <x:v>0</x:v>
      </x:c>
      <x:c r="AA117" s="23" t="n">
        <x:v>0</x:v>
      </x:c>
      <x:c r="AB117" s="23" t="n">
        <x:v>129123.15356536493</x:v>
      </x:c>
      <x:c r="AC117" s="23" t="n">
        <x:v>3040.467665175396</x:v>
      </x:c>
      <x:c r="AD117" s="19" t="n">
        <x:v>0</x:v>
      </x:c>
      <x:c r="AE117" s="19" t="n">
        <x:v>0</x:v>
      </x:c>
      <x:c r="AF117" s="19" t="n">
        <x:v>0</x:v>
      </x:c>
      <x:c r="AG117" s="19" t="n">
        <x:v>0</x:v>
      </x:c>
      <x:c r="AH117" s="19" t="n">
        <x:v>0</x:v>
      </x:c>
      <x:c r="AI117" s="19" t="n">
        <x:v>0</x:v>
      </x:c>
      <x:c r="AJ117" s="19" t="n">
        <x:v>0</x:v>
      </x:c>
      <x:c r="AK117" s="19" t="n">
        <x:v>0</x:v>
      </x:c>
      <x:c r="AL117" s="23" t="n">
        <x:v>140.98529396436768</x:v>
      </x:c>
      <x:c r="AM117" s="23" t="n">
        <x:v>14.489245107399203</x:v>
      </x:c>
      <x:c r="AN117" s="23" t="n">
        <x:v>45.569980029988955</x:v>
      </x:c>
      <x:c r="AO117" s="23" t="n">
        <x:v>3.7974983358324135</x:v>
      </x:c>
      <x:c r="AP117" s="23" t="n">
        <x:v>46.413614703622436</x:v>
      </x:c>
      <x:c r="AQ117" s="19" t="n">
        <x:v>222</x:v>
      </x:c>
      <x:c r="AR117" s="19" t="n">
        <x:v>41</x:v>
      </x:c>
      <x:c r="AS117" s="19" t="n">
        <x:v>1</x:v>
      </x:c>
      <x:c r="AT117" s="19" t="n">
        <x:v>1</x:v>
      </x:c>
    </x:row>
    <x:row r="118" ht="25" customHeight="1">
      <x:c r="A118" s="18" t="str">
        <x:v>no_purchases</x:v>
      </x:c>
      <x:c r="B118" s="18" t="n">
        <x:v>11</x:v>
      </x:c>
      <x:c r="C118" s="18" t="n">
        <x:v>2</x:v>
      </x:c>
      <x:c r="D118" s="18" t="n">
        <x:v>15</x:v>
      </x:c>
      <x:c r="E118" s="18" t="n">
        <x:v>15</x:v>
      </x:c>
      <x:c r="F118" s="18" t="n">
        <x:v>53</x:v>
      </x:c>
      <x:c r="G118" s="18" t="n">
        <x:v>3600</x:v>
      </x:c>
      <x:c r="H118" s="18" t="n">
        <x:v>632</x:v>
      </x:c>
      <x:c r="I118" s="20" t="n">
        <x:v>436.2035209349065</x:v>
      </x:c>
      <x:c r="J118" s="20" t="n">
        <x:v>4.35</x:v>
      </x:c>
      <x:c r="K118" s="18" t="n">
        <x:v>0</x:v>
      </x:c>
      <x:c r="L118" s="18" t="n">
        <x:v>0</x:v>
      </x:c>
      <x:c r="M118" s="18" t="n">
        <x:v>16</x:v>
      </x:c>
      <x:c r="N118" s="18" t="n">
        <x:v>1</x:v>
      </x:c>
      <x:c r="O118" s="22" t="n">
        <x:v>260.26480473243896</x:v>
      </x:c>
      <x:c r="P118" s="22" t="n">
        <x:v>45.30698999355861</x:v>
      </x:c>
      <x:c r="Q118" s="22" t="n">
        <x:v>30.364227218784535</x:v>
      </x:c>
      <x:c r="R118" s="22" t="n">
        <x:v>31.123332899254155</x:v>
      </x:c>
      <x:c r="S118" s="24" t="n">
        <x:v>0.050000000000000044</x:v>
      </x:c>
      <x:c r="T118" s="20" t="n">
        <x:v>1.5</x:v>
      </x:c>
      <x:c r="U118" s="22" t="n">
        <x:v>2795.883118930325</x:v>
      </x:c>
      <x:c r="V118" s="22" t="n">
        <x:v>16313.595611523853</x:v>
      </x:c>
      <x:c r="W118" s="22" t="n">
        <x:v>138367.51321496253</x:v>
      </x:c>
      <x:c r="X118" s="22" t="n">
        <x:v>126331.4052038036</x:v>
      </x:c>
      <x:c r="Y118" s="22" t="n">
        <x:v>2835.0794222959244</x:v>
      </x:c>
      <x:c r="Z118" s="22" t="n">
        <x:v>0</x:v>
      </x:c>
      <x:c r="AA118" s="22" t="n">
        <x:v>0</x:v>
      </x:c>
      <x:c r="AB118" s="22" t="n">
        <x:v>126331.4052038036</x:v>
      </x:c>
      <x:c r="AC118" s="22" t="n">
        <x:v>2835.0794222959244</x:v>
      </x:c>
      <x:c r="AD118" s="18" t="n">
        <x:v>0</x:v>
      </x:c>
      <x:c r="AE118" s="18" t="n">
        <x:v>0</x:v>
      </x:c>
      <x:c r="AF118" s="18" t="n">
        <x:v>0</x:v>
      </x:c>
      <x:c r="AG118" s="18" t="n">
        <x:v>0</x:v>
      </x:c>
      <x:c r="AH118" s="18" t="n">
        <x:v>0</x:v>
      </x:c>
      <x:c r="AI118" s="18" t="n">
        <x:v>0</x:v>
      </x:c>
      <x:c r="AJ118" s="18" t="n">
        <x:v>0</x:v>
      </x:c>
      <x:c r="AK118" s="18" t="n">
        <x:v>0</x:v>
      </x:c>
      <x:c r="AL118" s="22" t="n">
        <x:v>140.98529396436768</x:v>
      </x:c>
      <x:c r="AM118" s="22" t="n">
        <x:v>14.489245107399203</x:v>
      </x:c>
      <x:c r="AN118" s="22" t="n">
        <x:v>45.569980029988955</x:v>
      </x:c>
      <x:c r="AO118" s="22" t="n">
        <x:v>3.7974983358324135</x:v>
      </x:c>
      <x:c r="AP118" s="22" t="n">
        <x:v>46.413614703622436</x:v>
      </x:c>
      <x:c r="AQ118" s="18" t="n">
        <x:v>225</x:v>
      </x:c>
      <x:c r="AR118" s="18" t="n">
        <x:v>39</x:v>
      </x:c>
      <x:c r="AS118" s="18" t="n">
        <x:v>1</x:v>
      </x:c>
      <x:c r="AT118" s="18" t="n">
        <x:v>0</x:v>
      </x:c>
    </x:row>
    <x:row r="119" ht="25" customHeight="1">
      <x:c r="A119" s="19" t="str">
        <x:v>no_purchases</x:v>
      </x:c>
      <x:c r="B119" s="19" t="n">
        <x:v>12</x:v>
      </x:c>
      <x:c r="C119" s="19" t="n">
        <x:v>2</x:v>
      </x:c>
      <x:c r="D119" s="19" t="n">
        <x:v>15</x:v>
      </x:c>
      <x:c r="E119" s="19" t="n">
        <x:v>16</x:v>
      </x:c>
      <x:c r="F119" s="19" t="n">
        <x:v>53</x:v>
      </x:c>
      <x:c r="G119" s="19" t="n">
        <x:v>3590</x:v>
      </x:c>
      <x:c r="H119" s="19" t="n">
        <x:v>634</x:v>
      </x:c>
      <x:c r="I119" s="21" t="n">
        <x:v>810.1621954931466</x:v>
      </x:c>
      <x:c r="J119" s="21" t="n">
        <x:v>4.35</x:v>
      </x:c>
      <x:c r="K119" s="19" t="n">
        <x:v>0</x:v>
      </x:c>
      <x:c r="L119" s="19" t="n">
        <x:v>0</x:v>
      </x:c>
      <x:c r="M119" s="19" t="n">
        <x:v>16</x:v>
      </x:c>
      <x:c r="N119" s="19" t="n">
        <x:v>1</x:v>
      </x:c>
      <x:c r="O119" s="23" t="n">
        <x:v>260.26480473243896</x:v>
      </x:c>
      <x:c r="P119" s="23" t="n">
        <x:v>260.26480473243896</x:v>
      </x:c>
      <x:c r="Q119" s="23" t="n">
        <x:v>30.364227218784535</x:v>
      </x:c>
      <x:c r="R119" s="23" t="n">
        <x:v>31.123332899254155</x:v>
      </x:c>
      <x:c r="S119" s="25" t="n">
        <x:v>0.050000000000000044</x:v>
      </x:c>
      <x:c r="T119" s="21" t="n">
        <x:v>1.5</x:v>
      </x:c>
      <x:c r="U119" s="23" t="n">
        <x:v>3738.8944547713963</x:v>
      </x:c>
      <x:c r="V119" s="23" t="n">
        <x:v>16313.595611523853</x:v>
      </x:c>
      <x:c r="W119" s="23" t="n">
        <x:v>139310.52455080373</x:v>
      </x:c>
      <x:c r="X119" s="23" t="n">
        <x:v>127604.12079324201</x:v>
      </x:c>
      <x:c r="Y119" s="23" t="n">
        <x:v>3024.4220952847845</x:v>
      </x:c>
      <x:c r="Z119" s="23" t="n">
        <x:v>0</x:v>
      </x:c>
      <x:c r="AA119" s="23" t="n">
        <x:v>0</x:v>
      </x:c>
      <x:c r="AB119" s="23" t="n">
        <x:v>127604.12079324201</x:v>
      </x:c>
      <x:c r="AC119" s="23" t="n">
        <x:v>3024.4220952847845</x:v>
      </x:c>
      <x:c r="AD119" s="19" t="n">
        <x:v>0</x:v>
      </x:c>
      <x:c r="AE119" s="19" t="n">
        <x:v>0</x:v>
      </x:c>
      <x:c r="AF119" s="19" t="n">
        <x:v>0</x:v>
      </x:c>
      <x:c r="AG119" s="19" t="n">
        <x:v>0</x:v>
      </x:c>
      <x:c r="AH119" s="19" t="n">
        <x:v>0</x:v>
      </x:c>
      <x:c r="AI119" s="19" t="n">
        <x:v>0</x:v>
      </x:c>
      <x:c r="AJ119" s="19" t="n">
        <x:v>0</x:v>
      </x:c>
      <x:c r="AK119" s="19" t="n">
        <x:v>0</x:v>
      </x:c>
      <x:c r="AL119" s="23" t="n">
        <x:v>140.98529396436768</x:v>
      </x:c>
      <x:c r="AM119" s="23" t="n">
        <x:v>14.489245107399203</x:v>
      </x:c>
      <x:c r="AN119" s="23" t="n">
        <x:v>45.569980029988955</x:v>
      </x:c>
      <x:c r="AO119" s="23" t="n">
        <x:v>3.7974983358324135</x:v>
      </x:c>
      <x:c r="AP119" s="23" t="n">
        <x:v>46.413614703622436</x:v>
      </x:c>
      <x:c r="AQ119" s="19" t="n">
        <x:v>220</x:v>
      </x:c>
      <x:c r="AR119" s="19" t="n">
        <x:v>41</x:v>
      </x:c>
      <x:c r="AS119" s="19" t="n">
        <x:v>1</x:v>
      </x:c>
      <x:c r="AT119" s="19" t="n">
        <x:v>1</x:v>
      </x:c>
    </x:row>
    <x:row r="120" ht="25" customHeight="1">
      <x:c r="A120" s="18" t="str">
        <x:v>no_purchases</x:v>
      </x:c>
      <x:c r="B120" s="18" t="n">
        <x:v>13</x:v>
      </x:c>
      <x:c r="C120" s="18" t="n">
        <x:v>2</x:v>
      </x:c>
      <x:c r="D120" s="18" t="n">
        <x:v>13</x:v>
      </x:c>
      <x:c r="E120" s="18" t="n">
        <x:v>15</x:v>
      </x:c>
      <x:c r="F120" s="18" t="n">
        <x:v>53</x:v>
      </x:c>
      <x:c r="G120" s="18" t="n">
        <x:v>3647</x:v>
      </x:c>
      <x:c r="H120" s="18" t="n">
        <x:v>622</x:v>
      </x:c>
      <x:c r="I120" s="20" t="n">
        <x:v>486.80544281609093</x:v>
      </x:c>
      <x:c r="J120" s="20" t="n">
        <x:v>4.35</x:v>
      </x:c>
      <x:c r="K120" s="18" t="n">
        <x:v>0</x:v>
      </x:c>
      <x:c r="L120" s="18" t="n">
        <x:v>0</x:v>
      </x:c>
      <x:c r="M120" s="18" t="n">
        <x:v>16</x:v>
      </x:c>
      <x:c r="N120" s="18" t="n">
        <x:v>2</x:v>
      </x:c>
      <x:c r="O120" s="22" t="n">
        <x:v>260.26480473243896</x:v>
      </x:c>
      <x:c r="P120" s="22" t="n">
        <x:v>221.94107238462644</x:v>
      </x:c>
      <x:c r="Q120" s="22" t="n">
        <x:v>30.364227218784535</x:v>
      </x:c>
      <x:c r="R120" s="22" t="n">
        <x:v>31.123332899254155</x:v>
      </x:c>
      <x:c r="S120" s="24" t="n">
        <x:v>0.050000000000000044</x:v>
      </x:c>
      <x:c r="T120" s="20" t="n">
        <x:v>1.5</x:v>
      </x:c>
      <x:c r="U120" s="22" t="n">
        <x:v>2051.7984229284198</x:v>
      </x:c>
      <x:c r="V120" s="22" t="n">
        <x:v>16313.595611523853</x:v>
      </x:c>
      <x:c r="W120" s="22" t="n">
        <x:v>137623.4285189608</x:v>
      </x:c>
      <x:c r="X120" s="22" t="n">
        <x:v>124909.7996151805</x:v>
      </x:c>
      <x:c r="Y120" s="22" t="n">
        <x:v>2993.074231860867</x:v>
      </x:c>
      <x:c r="Z120" s="22" t="n">
        <x:v>0</x:v>
      </x:c>
      <x:c r="AA120" s="22" t="n">
        <x:v>0</x:v>
      </x:c>
      <x:c r="AB120" s="22" t="n">
        <x:v>124909.7996151805</x:v>
      </x:c>
      <x:c r="AC120" s="22" t="n">
        <x:v>2993.074231860867</x:v>
      </x:c>
      <x:c r="AD120" s="18" t="n">
        <x:v>0</x:v>
      </x:c>
      <x:c r="AE120" s="18" t="n">
        <x:v>0</x:v>
      </x:c>
      <x:c r="AF120" s="18" t="n">
        <x:v>0</x:v>
      </x:c>
      <x:c r="AG120" s="18" t="n">
        <x:v>0</x:v>
      </x:c>
      <x:c r="AH120" s="18" t="n">
        <x:v>0</x:v>
      </x:c>
      <x:c r="AI120" s="18" t="n">
        <x:v>0</x:v>
      </x:c>
      <x:c r="AJ120" s="18" t="n">
        <x:v>0</x:v>
      </x:c>
      <x:c r="AK120" s="18" t="n">
        <x:v>0</x:v>
      </x:c>
      <x:c r="AL120" s="22" t="n">
        <x:v>120.87216560731102</x:v>
      </x:c>
      <x:c r="AM120" s="22" t="n">
        <x:v>12.77457744927083</x:v>
      </x:c>
      <x:c r="AN120" s="22" t="n">
        <x:v>37.66114052065201</x:v>
      </x:c>
      <x:c r="AO120" s="22" t="n">
        <x:v>3.1384283767210026</x:v>
      </x:c>
      <x:c r="AP120" s="22" t="n">
        <x:v>40.53944860129482</x:v>
      </x:c>
      <x:c r="AQ120" s="18" t="n">
        <x:v>230</x:v>
      </x:c>
      <x:c r="AR120" s="18" t="n">
        <x:v>38</x:v>
      </x:c>
      <x:c r="AS120" s="18" t="n">
        <x:v>0</x:v>
      </x:c>
      <x:c r="AT120" s="18" t="n">
        <x:v>0</x:v>
      </x:c>
    </x:row>
    <x:row r="121" ht="25" customHeight="1">
      <x:c r="A121" s="19" t="str">
        <x:v>no_purchases</x:v>
      </x:c>
      <x:c r="B121" s="19" t="n">
        <x:v>14</x:v>
      </x:c>
      <x:c r="C121" s="19" t="n">
        <x:v>2</x:v>
      </x:c>
      <x:c r="D121" s="19" t="n">
        <x:v>14</x:v>
      </x:c>
      <x:c r="E121" s="19" t="n">
        <x:v>15</x:v>
      </x:c>
      <x:c r="F121" s="19" t="n">
        <x:v>53</x:v>
      </x:c>
      <x:c r="G121" s="19" t="n">
        <x:v>3568</x:v>
      </x:c>
      <x:c r="H121" s="19" t="n">
        <x:v>642</x:v>
      </x:c>
      <x:c r="I121" s="21" t="n">
        <x:v>443.5058190663659</x:v>
      </x:c>
      <x:c r="J121" s="21" t="n">
        <x:v>4.35</x:v>
      </x:c>
      <x:c r="K121" s="19" t="n">
        <x:v>0</x:v>
      </x:c>
      <x:c r="L121" s="19" t="n">
        <x:v>0</x:v>
      </x:c>
      <x:c r="M121" s="19" t="n">
        <x:v>16</x:v>
      </x:c>
      <x:c r="N121" s="19" t="n">
        <x:v>5</x:v>
      </x:c>
      <x:c r="O121" s="23" t="n">
        <x:v>260.26480473243896</x:v>
      </x:c>
      <x:c r="P121" s="23" t="n">
        <x:v>97.00570493075776</x:v>
      </x:c>
      <x:c r="Q121" s="23" t="n">
        <x:v>30.364227218784535</x:v>
      </x:c>
      <x:c r="R121" s="23" t="n">
        <x:v>31.123332899254155</x:v>
      </x:c>
      <x:c r="S121" s="25" t="n">
        <x:v>0.050000000000000044</x:v>
      </x:c>
      <x:c r="T121" s="21" t="n">
        <x:v>1.5</x:v>
      </x:c>
      <x:c r="U121" s="23" t="n">
        <x:v>3344.487040543598</x:v>
      </x:c>
      <x:c r="V121" s="23" t="n">
        <x:v>16313.595611523853</x:v>
      </x:c>
      <x:c r="W121" s="23" t="n">
        <x:v>138916.11713657586</x:v>
      </x:c>
      <x:c r="X121" s="23" t="n">
        <x:v>127551.9689796595</x:v>
      </x:c>
      <x:c r="Y121" s="23" t="n">
        <x:v>3120.9571042479442</x:v>
      </x:c>
      <x:c r="Z121" s="23" t="n">
        <x:v>0</x:v>
      </x:c>
      <x:c r="AA121" s="23" t="n">
        <x:v>0</x:v>
      </x:c>
      <x:c r="AB121" s="23" t="n">
        <x:v>127551.9689796595</x:v>
      </x:c>
      <x:c r="AC121" s="23" t="n">
        <x:v>3120.9571042479442</x:v>
      </x:c>
      <x:c r="AD121" s="19" t="n">
        <x:v>0</x:v>
      </x:c>
      <x:c r="AE121" s="19" t="n">
        <x:v>0</x:v>
      </x:c>
      <x:c r="AF121" s="19" t="n">
        <x:v>0</x:v>
      </x:c>
      <x:c r="AG121" s="19" t="n">
        <x:v>0</x:v>
      </x:c>
      <x:c r="AH121" s="19" t="n">
        <x:v>0</x:v>
      </x:c>
      <x:c r="AI121" s="19" t="n">
        <x:v>0</x:v>
      </x:c>
      <x:c r="AJ121" s="19" t="n">
        <x:v>0</x:v>
      </x:c>
      <x:c r="AK121" s="19" t="n">
        <x:v>0</x:v>
      </x:c>
      <x:c r="AL121" s="23" t="n">
        <x:v>130.54193885589595</x:v>
      </x:c>
      <x:c r="AM121" s="23" t="n">
        <x:v>13.604924983473428</x:v>
      </x:c>
      <x:c r="AN121" s="23" t="n">
        <x:v>41.427254572717224</x:v>
      </x:c>
      <x:c r="AO121" s="23" t="n">
        <x:v>3.4522712143931034</x:v>
      </x:c>
      <x:c r="AP121" s="23" t="n">
        <x:v>43.37721000338547</x:v>
      </x:c>
      <x:c r="AQ121" s="19" t="n">
        <x:v>227</x:v>
      </x:c>
      <x:c r="AR121" s="19" t="n">
        <x:v>39</x:v>
      </x:c>
      <x:c r="AS121" s="19" t="n">
        <x:v>-1</x:v>
      </x:c>
      <x:c r="AT121" s="19" t="n">
        <x:v>0</x:v>
      </x:c>
    </x:row>
    <x:row r="122" ht="25" customHeight="1">
      <x:c r="A122" s="18" t="str">
        <x:v>no_purchases</x:v>
      </x:c>
      <x:c r="B122" s="18" t="n">
        <x:v>15</x:v>
      </x:c>
      <x:c r="C122" s="18" t="n">
        <x:v>2</x:v>
      </x:c>
      <x:c r="D122" s="18" t="n">
        <x:v>14</x:v>
      </x:c>
      <x:c r="E122" s="18" t="n">
        <x:v>15</x:v>
      </x:c>
      <x:c r="F122" s="18" t="n">
        <x:v>53</x:v>
      </x:c>
      <x:c r="G122" s="18" t="n">
        <x:v>3552</x:v>
      </x:c>
      <x:c r="H122" s="18" t="n">
        <x:v>651</x:v>
      </x:c>
      <x:c r="I122" s="20" t="n">
        <x:v>316.54665009628684</x:v>
      </x:c>
      <x:c r="J122" s="20" t="n">
        <x:v>4.35</x:v>
      </x:c>
      <x:c r="K122" s="18" t="n">
        <x:v>0</x:v>
      </x:c>
      <x:c r="L122" s="18" t="n">
        <x:v>0</x:v>
      </x:c>
      <x:c r="M122" s="18" t="n">
        <x:v>16</x:v>
      </x:c>
      <x:c r="N122" s="18" t="n">
        <x:v>5</x:v>
      </x:c>
      <x:c r="O122" s="22" t="n">
        <x:v>260.26480473243896</x:v>
      </x:c>
      <x:c r="P122" s="22" t="n">
        <x:v>97.00570493075776</x:v>
      </x:c>
      <x:c r="Q122" s="22" t="n">
        <x:v>30.364227218784535</x:v>
      </x:c>
      <x:c r="R122" s="22" t="n">
        <x:v>31.123332899254155</x:v>
      </x:c>
      <x:c r="S122" s="24" t="n">
        <x:v>0.050000000000000044</x:v>
      </x:c>
      <x:c r="T122" s="20" t="n">
        <x:v>1.5</x:v>
      </x:c>
      <x:c r="U122" s="22" t="n">
        <x:v>4072.7173374919225</x:v>
      </x:c>
      <x:c r="V122" s="22" t="n">
        <x:v>16313.595611523853</x:v>
      </x:c>
      <x:c r="W122" s="22" t="n">
        <x:v>139644.34743352426</x:v>
      </x:c>
      <x:c r="X122" s="22" t="n">
        <x:v>128723.98951116444</x:v>
      </x:c>
      <x:c r="Y122" s="22" t="n">
        <x:v>3037.043075515377</x:v>
      </x:c>
      <x:c r="Z122" s="22" t="n">
        <x:v>0</x:v>
      </x:c>
      <x:c r="AA122" s="22" t="n">
        <x:v>0</x:v>
      </x:c>
      <x:c r="AB122" s="22" t="n">
        <x:v>128723.98951116444</x:v>
      </x:c>
      <x:c r="AC122" s="22" t="n">
        <x:v>3037.043075515377</x:v>
      </x:c>
      <x:c r="AD122" s="18" t="n">
        <x:v>0</x:v>
      </x:c>
      <x:c r="AE122" s="18" t="n">
        <x:v>0</x:v>
      </x:c>
      <x:c r="AF122" s="18" t="n">
        <x:v>0</x:v>
      </x:c>
      <x:c r="AG122" s="18" t="n">
        <x:v>0</x:v>
      </x:c>
      <x:c r="AH122" s="18" t="n">
        <x:v>0</x:v>
      </x:c>
      <x:c r="AI122" s="18" t="n">
        <x:v>0</x:v>
      </x:c>
      <x:c r="AJ122" s="18" t="n">
        <x:v>0</x:v>
      </x:c>
      <x:c r="AK122" s="18" t="n">
        <x:v>0</x:v>
      </x:c>
      <x:c r="AL122" s="22" t="n">
        <x:v>130.54193885589595</x:v>
      </x:c>
      <x:c r="AM122" s="22" t="n">
        <x:v>13.604924983473428</x:v>
      </x:c>
      <x:c r="AN122" s="22" t="n">
        <x:v>41.427254572717224</x:v>
      </x:c>
      <x:c r="AO122" s="22" t="n">
        <x:v>3.4522712143931034</x:v>
      </x:c>
      <x:c r="AP122" s="22" t="n">
        <x:v>43.37721000338547</x:v>
      </x:c>
      <x:c r="AQ122" s="18" t="n">
        <x:v>226</x:v>
      </x:c>
      <x:c r="AR122" s="18" t="n">
        <x:v>40</x:v>
      </x:c>
      <x:c r="AS122" s="18" t="n">
        <x:v>0</x:v>
      </x:c>
      <x:c r="AT122" s="18" t="n">
        <x:v>0</x:v>
      </x:c>
    </x:row>
    <x:row r="123" ht="25" customHeight="1">
      <x:c r="A123" s="19" t="str">
        <x:v>no_purchases</x:v>
      </x:c>
      <x:c r="B123" s="19" t="n">
        <x:v>16</x:v>
      </x:c>
      <x:c r="C123" s="19" t="n">
        <x:v>2</x:v>
      </x:c>
      <x:c r="D123" s="19" t="n">
        <x:v>14</x:v>
      </x:c>
      <x:c r="E123" s="19" t="n">
        <x:v>15</x:v>
      </x:c>
      <x:c r="F123" s="19" t="n">
        <x:v>53</x:v>
      </x:c>
      <x:c r="G123" s="19" t="n">
        <x:v>3591</x:v>
      </x:c>
      <x:c r="H123" s="19" t="n">
        <x:v>636</x:v>
      </x:c>
      <x:c r="I123" s="21" t="n">
        <x:v>253.16016113734847</x:v>
      </x:c>
      <x:c r="J123" s="21" t="n">
        <x:v>4.35</x:v>
      </x:c>
      <x:c r="K123" s="19" t="n">
        <x:v>0</x:v>
      </x:c>
      <x:c r="L123" s="19" t="n">
        <x:v>0</x:v>
      </x:c>
      <x:c r="M123" s="19" t="n">
        <x:v>16</x:v>
      </x:c>
      <x:c r="N123" s="19" t="n">
        <x:v>1</x:v>
      </x:c>
      <x:c r="O123" s="23" t="n">
        <x:v>260.26480473243896</x:v>
      </x:c>
      <x:c r="P123" s="23" t="n">
        <x:v>260.26480473243896</x:v>
      </x:c>
      <x:c r="Q123" s="23" t="n">
        <x:v>30.364227218784535</x:v>
      </x:c>
      <x:c r="R123" s="23" t="n">
        <x:v>31.123332899254155</x:v>
      </x:c>
      <x:c r="S123" s="25" t="n">
        <x:v>0.050000000000000044</x:v>
      </x:c>
      <x:c r="T123" s="21" t="n">
        <x:v>1.5</x:v>
      </x:c>
      <x:c r="U123" s="23" t="n">
        <x:v>3570.5135487959396</x:v>
      </x:c>
      <x:c r="V123" s="23" t="n">
        <x:v>16313.595611523853</x:v>
      </x:c>
      <x:c r="W123" s="23" t="n">
        <x:v>139142.14364482832</x:v>
      </x:c>
      <x:c r="X123" s="23" t="n">
        <x:v>127463.80064360725</x:v>
      </x:c>
      <x:c r="Y123" s="23" t="n">
        <x:v>2939.0243259357644</x:v>
      </x:c>
      <x:c r="Z123" s="23" t="n">
        <x:v>0</x:v>
      </x:c>
      <x:c r="AA123" s="23" t="n">
        <x:v>0</x:v>
      </x:c>
      <x:c r="AB123" s="23" t="n">
        <x:v>127463.80064360725</x:v>
      </x:c>
      <x:c r="AC123" s="23" t="n">
        <x:v>2939.0243259357644</x:v>
      </x:c>
      <x:c r="AD123" s="19" t="n">
        <x:v>0</x:v>
      </x:c>
      <x:c r="AE123" s="19" t="n">
        <x:v>0</x:v>
      </x:c>
      <x:c r="AF123" s="19" t="n">
        <x:v>0</x:v>
      </x:c>
      <x:c r="AG123" s="19" t="n">
        <x:v>0</x:v>
      </x:c>
      <x:c r="AH123" s="19" t="n">
        <x:v>0</x:v>
      </x:c>
      <x:c r="AI123" s="19" t="n">
        <x:v>0</x:v>
      </x:c>
      <x:c r="AJ123" s="19" t="n">
        <x:v>0</x:v>
      </x:c>
      <x:c r="AK123" s="19" t="n">
        <x:v>0</x:v>
      </x:c>
      <x:c r="AL123" s="23" t="n">
        <x:v>130.54193885589595</x:v>
      </x:c>
      <x:c r="AM123" s="23" t="n">
        <x:v>13.604924983473428</x:v>
      </x:c>
      <x:c r="AN123" s="23" t="n">
        <x:v>41.427254572717224</x:v>
      </x:c>
      <x:c r="AO123" s="23" t="n">
        <x:v>3.4522712143931034</x:v>
      </x:c>
      <x:c r="AP123" s="23" t="n">
        <x:v>43.37721000338547</x:v>
      </x:c>
      <x:c r="AQ123" s="19" t="n">
        <x:v>226</x:v>
      </x:c>
      <x:c r="AR123" s="19" t="n">
        <x:v>40</x:v>
      </x:c>
      <x:c r="AS123" s="19" t="n">
        <x:v>-1</x:v>
      </x:c>
      <x:c r="AT123" s="19" t="n">
        <x:v>0</x:v>
      </x:c>
    </x:row>
    <x:row r="124" ht="25" customHeight="1">
      <x:c r="A124" s="18" t="str">
        <x:v>no_purchases</x:v>
      </x:c>
      <x:c r="B124" s="18" t="n">
        <x:v>17</x:v>
      </x:c>
      <x:c r="C124" s="18" t="n">
        <x:v>2</x:v>
      </x:c>
      <x:c r="D124" s="18" t="n">
        <x:v>15</x:v>
      </x:c>
      <x:c r="E124" s="18" t="n">
        <x:v>16</x:v>
      </x:c>
      <x:c r="F124" s="18" t="n">
        <x:v>53</x:v>
      </x:c>
      <x:c r="G124" s="18" t="n">
        <x:v>3559</x:v>
      </x:c>
      <x:c r="H124" s="18" t="n">
        <x:v>650</x:v>
      </x:c>
      <x:c r="I124" s="20" t="n">
        <x:v>688.6496507140891</x:v>
      </x:c>
      <x:c r="J124" s="20" t="n">
        <x:v>4.35</x:v>
      </x:c>
      <x:c r="K124" s="18" t="n">
        <x:v>0</x:v>
      </x:c>
      <x:c r="L124" s="18" t="n">
        <x:v>0</x:v>
      </x:c>
      <x:c r="M124" s="18" t="n">
        <x:v>16</x:v>
      </x:c>
      <x:c r="N124" s="18" t="n">
        <x:v>2</x:v>
      </x:c>
      <x:c r="O124" s="22" t="n">
        <x:v>260.26480473243896</x:v>
      </x:c>
      <x:c r="P124" s="22" t="n">
        <x:v>8.641717163097837</x:v>
      </x:c>
      <x:c r="Q124" s="22" t="n">
        <x:v>30.364227218784535</x:v>
      </x:c>
      <x:c r="R124" s="22" t="n">
        <x:v>31.123332899254155</x:v>
      </x:c>
      <x:c r="S124" s="24" t="n">
        <x:v>0.050000000000000044</x:v>
      </x:c>
      <x:c r="T124" s="20" t="n">
        <x:v>1.5</x:v>
      </x:c>
      <x:c r="U124" s="22" t="n">
        <x:v>4727.329850060259</x:v>
      </x:c>
      <x:c r="V124" s="22" t="n">
        <x:v>16313.595611523853</x:v>
      </x:c>
      <x:c r="W124" s="22" t="n">
        <x:v>140298.9599460925</x:v>
      </x:c>
      <x:c r="X124" s="22" t="n">
        <x:v>129509.2429865883</x:v>
      </x:c>
      <x:c r="Y124" s="22" t="n">
        <x:v>2964.3363699195093</x:v>
      </x:c>
      <x:c r="Z124" s="22" t="n">
        <x:v>0</x:v>
      </x:c>
      <x:c r="AA124" s="22" t="n">
        <x:v>0</x:v>
      </x:c>
      <x:c r="AB124" s="22" t="n">
        <x:v>129509.2429865883</x:v>
      </x:c>
      <x:c r="AC124" s="22" t="n">
        <x:v>2964.3363699195093</x:v>
      </x:c>
      <x:c r="AD124" s="18" t="n">
        <x:v>0</x:v>
      </x:c>
      <x:c r="AE124" s="18" t="n">
        <x:v>0</x:v>
      </x:c>
      <x:c r="AF124" s="18" t="n">
        <x:v>0</x:v>
      </x:c>
      <x:c r="AG124" s="18" t="n">
        <x:v>0</x:v>
      </x:c>
      <x:c r="AH124" s="18" t="n">
        <x:v>0</x:v>
      </x:c>
      <x:c r="AI124" s="18" t="n">
        <x:v>0</x:v>
      </x:c>
      <x:c r="AJ124" s="18" t="n">
        <x:v>0</x:v>
      </x:c>
      <x:c r="AK124" s="18" t="n">
        <x:v>0</x:v>
      </x:c>
      <x:c r="AL124" s="22" t="n">
        <x:v>140.98529396436768</x:v>
      </x:c>
      <x:c r="AM124" s="22" t="n">
        <x:v>14.489245107399203</x:v>
      </x:c>
      <x:c r="AN124" s="22" t="n">
        <x:v>45.569980029988955</x:v>
      </x:c>
      <x:c r="AO124" s="22" t="n">
        <x:v>3.7974983358324135</x:v>
      </x:c>
      <x:c r="AP124" s="22" t="n">
        <x:v>46.413614703622436</x:v>
      </x:c>
      <x:c r="AQ124" s="18" t="n">
        <x:v>227</x:v>
      </x:c>
      <x:c r="AR124" s="18" t="n">
        <x:v>39</x:v>
      </x:c>
      <x:c r="AS124" s="18" t="n">
        <x:v>1</x:v>
      </x:c>
      <x:c r="AT124" s="18" t="n">
        <x:v>0</x:v>
      </x:c>
    </x:row>
    <x:row r="125" ht="25" customHeight="1">
      <x:c r="A125" s="19" t="str">
        <x:v>no_purchases</x:v>
      </x:c>
      <x:c r="B125" s="19" t="n">
        <x:v>18</x:v>
      </x:c>
      <x:c r="C125" s="19" t="n">
        <x:v>2</x:v>
      </x:c>
      <x:c r="D125" s="19" t="n">
        <x:v>16</x:v>
      </x:c>
      <x:c r="E125" s="19" t="n">
        <x:v>16</x:v>
      </x:c>
      <x:c r="F125" s="19" t="n">
        <x:v>53</x:v>
      </x:c>
      <x:c r="G125" s="19" t="n">
        <x:v>3565</x:v>
      </x:c>
      <x:c r="H125" s="19" t="n">
        <x:v>637</x:v>
      </x:c>
      <x:c r="I125" s="21" t="n">
        <x:v>998.0245037771438</x:v>
      </x:c>
      <x:c r="J125" s="21" t="n">
        <x:v>4.35</x:v>
      </x:c>
      <x:c r="K125" s="19" t="n">
        <x:v>0</x:v>
      </x:c>
      <x:c r="L125" s="19" t="n">
        <x:v>0</x:v>
      </x:c>
      <x:c r="M125" s="19" t="n">
        <x:v>16</x:v>
      </x:c>
      <x:c r="N125" s="19" t="n">
        <x:v>1</x:v>
      </x:c>
      <x:c r="O125" s="23" t="n">
        <x:v>260.26480473243896</x:v>
      </x:c>
      <x:c r="P125" s="23" t="n">
        <x:v>14.672100162022714</x:v>
      </x:c>
      <x:c r="Q125" s="23" t="n">
        <x:v>30.364227218784535</x:v>
      </x:c>
      <x:c r="R125" s="23" t="n">
        <x:v>31.123332899254155</x:v>
      </x:c>
      <x:c r="S125" s="25" t="n">
        <x:v>0.050000000000000044</x:v>
      </x:c>
      <x:c r="T125" s="21" t="n">
        <x:v>1.5</x:v>
      </x:c>
      <x:c r="U125" s="23" t="n">
        <x:v>3024.1321598466307</x:v>
      </x:c>
      <x:c r="V125" s="23" t="n">
        <x:v>16313.595611523853</x:v>
      </x:c>
      <x:c r="W125" s="23" t="n">
        <x:v>138595.76225587883</x:v>
      </x:c>
      <x:c r="X125" s="23" t="n">
        <x:v>127178.40045072371</x:v>
      </x:c>
      <x:c r="Y125" s="23" t="n">
        <x:v>2799.8163030891096</x:v>
      </x:c>
      <x:c r="Z125" s="23" t="n">
        <x:v>0</x:v>
      </x:c>
      <x:c r="AA125" s="23" t="n">
        <x:v>0</x:v>
      </x:c>
      <x:c r="AB125" s="23" t="n">
        <x:v>127178.40045072371</x:v>
      </x:c>
      <x:c r="AC125" s="23" t="n">
        <x:v>2799.8163030891096</x:v>
      </x:c>
      <x:c r="AD125" s="19" t="n">
        <x:v>0</x:v>
      </x:c>
      <x:c r="AE125" s="19" t="n">
        <x:v>0</x:v>
      </x:c>
      <x:c r="AF125" s="19" t="n">
        <x:v>0</x:v>
      </x:c>
      <x:c r="AG125" s="19" t="n">
        <x:v>0</x:v>
      </x:c>
      <x:c r="AH125" s="19" t="n">
        <x:v>0</x:v>
      </x:c>
      <x:c r="AI125" s="19" t="n">
        <x:v>0</x:v>
      </x:c>
      <x:c r="AJ125" s="19" t="n">
        <x:v>0</x:v>
      </x:c>
      <x:c r="AK125" s="19" t="n">
        <x:v>0</x:v>
      </x:c>
      <x:c r="AL125" s="23" t="n">
        <x:v>152.264117481517</x:v>
      </x:c>
      <x:c r="AM125" s="23" t="n">
        <x:v>15.431046039380153</x:v>
      </x:c>
      <x:c r="AN125" s="23" t="n">
        <x:v>50.126978032987836</x:v>
      </x:c>
      <x:c r="AO125" s="23" t="n">
        <x:v>4.1772481694156545</x:v>
      </x:c>
      <x:c r="AP125" s="23" t="n">
        <x:v>49.66256773287601</x:v>
      </x:c>
      <x:c r="AQ125" s="19" t="n">
        <x:v>222</x:v>
      </x:c>
      <x:c r="AR125" s="19" t="n">
        <x:v>41</x:v>
      </x:c>
      <x:c r="AS125" s="19" t="n">
        <x:v>1</x:v>
      </x:c>
      <x:c r="AT125" s="19" t="n">
        <x:v>0</x:v>
      </x:c>
    </x:row>
    <x:row r="126" ht="25" customHeight="1">
      <x:c r="A126" s="18" t="str">
        <x:v>no_purchases</x:v>
      </x:c>
      <x:c r="B126" s="18" t="n">
        <x:v>19</x:v>
      </x:c>
      <x:c r="C126" s="18" t="n">
        <x:v>2</x:v>
      </x:c>
      <x:c r="D126" s="18" t="n">
        <x:v>14</x:v>
      </x:c>
      <x:c r="E126" s="18" t="n">
        <x:v>15</x:v>
      </x:c>
      <x:c r="F126" s="18" t="n">
        <x:v>53</x:v>
      </x:c>
      <x:c r="G126" s="18" t="n">
        <x:v>3630</x:v>
      </x:c>
      <x:c r="H126" s="18" t="n">
        <x:v>612</x:v>
      </x:c>
      <x:c r="I126" s="20" t="n">
        <x:v>353.6921069250209</x:v>
      </x:c>
      <x:c r="J126" s="20" t="n">
        <x:v>4.35</x:v>
      </x:c>
      <x:c r="K126" s="18" t="n">
        <x:v>0</x:v>
      </x:c>
      <x:c r="L126" s="18" t="n">
        <x:v>0</x:v>
      </x:c>
      <x:c r="M126" s="18" t="n">
        <x:v>16</x:v>
      </x:c>
      <x:c r="N126" s="18" t="n">
        <x:v>1</x:v>
      </x:c>
      <x:c r="O126" s="22" t="n">
        <x:v>260.26480473243896</x:v>
      </x:c>
      <x:c r="P126" s="22" t="n">
        <x:v>260.26480473243896</x:v>
      </x:c>
      <x:c r="Q126" s="22" t="n">
        <x:v>30.364227218784535</x:v>
      </x:c>
      <x:c r="R126" s="22" t="n">
        <x:v>31.123332899254155</x:v>
      </x:c>
      <x:c r="S126" s="24" t="n">
        <x:v>0.050000000000000044</x:v>
      </x:c>
      <x:c r="T126" s="20" t="n">
        <x:v>1.5</x:v>
      </x:c>
      <x:c r="U126" s="22" t="n">
        <x:v>1719.323341125646</x:v>
      </x:c>
      <x:c r="V126" s="22" t="n">
        <x:v>16313.595611523853</x:v>
      </x:c>
      <x:c r="W126" s="22" t="n">
        <x:v>137290.953437158</x:v>
      </x:c>
      <x:c r="X126" s="22" t="n">
        <x:v>124473.89475987249</x:v>
      </x:c>
      <x:c r="Y126" s="22" t="n">
        <x:v>2920.1164706970485</x:v>
      </x:c>
      <x:c r="Z126" s="22" t="n">
        <x:v>0</x:v>
      </x:c>
      <x:c r="AA126" s="22" t="n">
        <x:v>0</x:v>
      </x:c>
      <x:c r="AB126" s="22" t="n">
        <x:v>124473.89475987249</x:v>
      </x:c>
      <x:c r="AC126" s="22" t="n">
        <x:v>2920.1164706970485</x:v>
      </x:c>
      <x:c r="AD126" s="18" t="n">
        <x:v>0</x:v>
      </x:c>
      <x:c r="AE126" s="18" t="n">
        <x:v>0</x:v>
      </x:c>
      <x:c r="AF126" s="18" t="n">
        <x:v>0</x:v>
      </x:c>
      <x:c r="AG126" s="18" t="n">
        <x:v>0</x:v>
      </x:c>
      <x:c r="AH126" s="18" t="n">
        <x:v>0</x:v>
      </x:c>
      <x:c r="AI126" s="18" t="n">
        <x:v>0</x:v>
      </x:c>
      <x:c r="AJ126" s="18" t="n">
        <x:v>0</x:v>
      </x:c>
      <x:c r="AK126" s="18" t="n">
        <x:v>0</x:v>
      </x:c>
      <x:c r="AL126" s="22" t="n">
        <x:v>130.54193885589595</x:v>
      </x:c>
      <x:c r="AM126" s="22" t="n">
        <x:v>13.604924983473428</x:v>
      </x:c>
      <x:c r="AN126" s="22" t="n">
        <x:v>41.427254572717224</x:v>
      </x:c>
      <x:c r="AO126" s="22" t="n">
        <x:v>3.4522712143931034</x:v>
      </x:c>
      <x:c r="AP126" s="22" t="n">
        <x:v>43.37721000338547</x:v>
      </x:c>
      <x:c r="AQ126" s="18" t="n">
        <x:v>226</x:v>
      </x:c>
      <x:c r="AR126" s="18" t="n">
        <x:v>40</x:v>
      </x:c>
      <x:c r="AS126" s="18" t="n">
        <x:v>0</x:v>
      </x:c>
      <x:c r="AT126" s="18" t="n">
        <x:v>0</x:v>
      </x:c>
    </x:row>
    <x:row r="127" ht="25" customHeight="1">
      <x:c r="A127" s="19" t="str">
        <x:v>no_purchases</x:v>
      </x:c>
      <x:c r="B127" s="19" t="n">
        <x:v>20</x:v>
      </x:c>
      <x:c r="C127" s="19" t="n">
        <x:v>2</x:v>
      </x:c>
      <x:c r="D127" s="19" t="n">
        <x:v>15</x:v>
      </x:c>
      <x:c r="E127" s="19" t="n">
        <x:v>16</x:v>
      </x:c>
      <x:c r="F127" s="19" t="n">
        <x:v>53</x:v>
      </x:c>
      <x:c r="G127" s="19" t="n">
        <x:v>3542</x:v>
      </x:c>
      <x:c r="H127" s="19" t="n">
        <x:v>656</x:v>
      </x:c>
      <x:c r="I127" s="21" t="n">
        <x:v>890.575329102083</x:v>
      </x:c>
      <x:c r="J127" s="21" t="n">
        <x:v>4.35</x:v>
      </x:c>
      <x:c r="K127" s="19" t="n">
        <x:v>0</x:v>
      </x:c>
      <x:c r="L127" s="19" t="n">
        <x:v>0</x:v>
      </x:c>
      <x:c r="M127" s="19" t="n">
        <x:v>16</x:v>
      </x:c>
      <x:c r="N127" s="19" t="n">
        <x:v>4</x:v>
      </x:c>
      <x:c r="O127" s="23" t="n">
        <x:v>260.26480473243896</x:v>
      </x:c>
      <x:c r="P127" s="23" t="n">
        <x:v>122.61697621214658</x:v>
      </x:c>
      <x:c r="Q127" s="23" t="n">
        <x:v>30.364227218784535</x:v>
      </x:c>
      <x:c r="R127" s="23" t="n">
        <x:v>31.123332899254155</x:v>
      </x:c>
      <x:c r="S127" s="25" t="n">
        <x:v>0.050000000000000044</x:v>
      </x:c>
      <x:c r="T127" s="21" t="n">
        <x:v>1.5</x:v>
      </x:c>
      <x:c r="U127" s="23" t="n">
        <x:v>5221.982575548645</x:v>
      </x:c>
      <x:c r="V127" s="23" t="n">
        <x:v>16313.595611523853</x:v>
      </x:c>
      <x:c r="W127" s="23" t="n">
        <x:v>140793.61267158104</x:v>
      </x:c>
      <x:c r="X127" s="23" t="n">
        <x:v>130462.55707516609</x:v>
      </x:c>
      <x:c r="Y127" s="23" t="n">
        <x:v>3028.2728735393594</x:v>
      </x:c>
      <x:c r="Z127" s="23" t="n">
        <x:v>0</x:v>
      </x:c>
      <x:c r="AA127" s="23" t="n">
        <x:v>0</x:v>
      </x:c>
      <x:c r="AB127" s="23" t="n">
        <x:v>130462.55707516609</x:v>
      </x:c>
      <x:c r="AC127" s="23" t="n">
        <x:v>3028.2728735393594</x:v>
      </x:c>
      <x:c r="AD127" s="19" t="n">
        <x:v>0</x:v>
      </x:c>
      <x:c r="AE127" s="19" t="n">
        <x:v>0</x:v>
      </x:c>
      <x:c r="AF127" s="19" t="n">
        <x:v>0</x:v>
      </x:c>
      <x:c r="AG127" s="19" t="n">
        <x:v>0</x:v>
      </x:c>
      <x:c r="AH127" s="19" t="n">
        <x:v>0</x:v>
      </x:c>
      <x:c r="AI127" s="19" t="n">
        <x:v>0</x:v>
      </x:c>
      <x:c r="AJ127" s="19" t="n">
        <x:v>0</x:v>
      </x:c>
      <x:c r="AK127" s="19" t="n">
        <x:v>0</x:v>
      </x:c>
      <x:c r="AL127" s="23" t="n">
        <x:v>140.98529396436768</x:v>
      </x:c>
      <x:c r="AM127" s="23" t="n">
        <x:v>14.489245107399203</x:v>
      </x:c>
      <x:c r="AN127" s="23" t="n">
        <x:v>45.569980029988955</x:v>
      </x:c>
      <x:c r="AO127" s="23" t="n">
        <x:v>3.7974983358324135</x:v>
      </x:c>
      <x:c r="AP127" s="23" t="n">
        <x:v>46.413614703622436</x:v>
      </x:c>
      <x:c r="AQ127" s="19" t="n">
        <x:v>218</x:v>
      </x:c>
      <x:c r="AR127" s="19" t="n">
        <x:v>43</x:v>
      </x:c>
      <x:c r="AS127" s="19" t="n">
        <x:v>0</x:v>
      </x:c>
      <x:c r="AT127" s="19" t="n">
        <x:v>0</x:v>
      </x:c>
    </x:row>
    <x:row r="128" ht="25" customHeight="1">
      <x:c r="A128" s="18" t="str">
        <x:v>no_purchases</x:v>
      </x:c>
      <x:c r="B128" s="18" t="n">
        <x:v>1</x:v>
      </x:c>
      <x:c r="C128" s="18" t="n">
        <x:v>7</x:v>
      </x:c>
      <x:c r="D128" s="18" t="n">
        <x:v>17</x:v>
      </x:c>
      <x:c r="E128" s="18" t="n">
        <x:v>18</x:v>
      </x:c>
      <x:c r="F128" s="18" t="n">
        <x:v>65</x:v>
      </x:c>
      <x:c r="G128" s="18" t="n">
        <x:v>12616</x:v>
      </x:c>
      <x:c r="H128" s="18" t="n">
        <x:v>2181</x:v>
      </x:c>
      <x:c r="I128" s="20" t="n">
        <x:v>734.386591743998</x:v>
      </x:c>
      <x:c r="J128" s="20" t="n">
        <x:v>4.35</x:v>
      </x:c>
      <x:c r="K128" s="18" t="n">
        <x:v>0</x:v>
      </x:c>
      <x:c r="L128" s="18" t="n">
        <x:v>0</x:v>
      </x:c>
      <x:c r="M128" s="18" t="n">
        <x:v>56</x:v>
      </x:c>
      <x:c r="N128" s="18" t="n">
        <x:v>2</x:v>
      </x:c>
      <x:c r="O128" s="22" t="n">
        <x:v>311.1773299299918</x:v>
      </x:c>
      <x:c r="P128" s="22" t="n">
        <x:v>261.8751378341721</x:v>
      </x:c>
      <x:c r="Q128" s="22" t="n">
        <x:v>36.3040218251657</x:v>
      </x:c>
      <x:c r="R128" s="22" t="n">
        <x:v>37.21162237079485</x:v>
      </x:c>
      <x:c r="S128" s="24" t="n">
        <x:v>0.050000000000000044</x:v>
      </x:c>
      <x:c r="T128" s="20" t="n">
        <x:v>1.5</x:v>
      </x:c>
      <x:c r="U128" s="22" t="n">
        <x:v>41129.51103979598</x:v>
      </x:c>
      <x:c r="V128" s="22" t="n">
        <x:v>63557.37685461669</x:v>
      </x:c>
      <x:c r="W128" s="22" t="n">
        <x:v>570399.3181616021</x:v>
      </x:c>
      <x:c r="X128" s="22" t="n">
        <x:v>556298.6741373155</x:v>
      </x:c>
      <x:c r="Y128" s="22" t="n">
        <x:v>13423.912191090725</x:v>
      </x:c>
      <x:c r="Z128" s="22" t="n">
        <x:v>0</x:v>
      </x:c>
      <x:c r="AA128" s="22" t="n">
        <x:v>0</x:v>
      </x:c>
      <x:c r="AB128" s="22" t="n">
        <x:v>556298.6741373155</x:v>
      </x:c>
      <x:c r="AC128" s="22" t="n">
        <x:v>13423.912191090725</x:v>
      </x:c>
      <x:c r="AD128" s="18" t="n">
        <x:v>0</x:v>
      </x:c>
      <x:c r="AE128" s="18" t="n">
        <x:v>0</x:v>
      </x:c>
      <x:c r="AF128" s="18" t="n">
        <x:v>0</x:v>
      </x:c>
      <x:c r="AG128" s="18" t="n">
        <x:v>0</x:v>
      </x:c>
      <x:c r="AH128" s="18" t="n">
        <x:v>0</x:v>
      </x:c>
      <x:c r="AI128" s="18" t="n">
        <x:v>0</x:v>
      </x:c>
      <x:c r="AJ128" s="18" t="n">
        <x:v>0</x:v>
      </x:c>
      <x:c r="AK128" s="18" t="n">
        <x:v>0</x:v>
      </x:c>
      <x:c r="AL128" s="22" t="n">
        <x:v>164.4452468800384</x:v>
      </x:c>
      <x:c r="AM128" s="22" t="n">
        <x:v>16.434064031939858</x:v>
      </x:c>
      <x:c r="AN128" s="22" t="n">
        <x:v>55.139675836286635</x:v>
      </x:c>
      <x:c r="AO128" s="22" t="n">
        <x:v>4.594972986357221</x:v>
      </x:c>
      <x:c r="AP128" s="22" t="n">
        <x:v>53.13894747417735</x:v>
      </x:c>
      <x:c r="AQ128" s="18" t="n">
        <x:v>221</x:v>
      </x:c>
      <x:c r="AR128" s="18" t="n">
        <x:v>41</x:v>
      </x:c>
      <x:c r="AS128" s="18" t="n">
        <x:v>-1</x:v>
      </x:c>
      <x:c r="AT128" s="18" t="n">
        <x:v>0</x:v>
      </x:c>
    </x:row>
    <x:row r="129" ht="25" customHeight="1">
      <x:c r="A129" s="19" t="str">
        <x:v>no_purchases</x:v>
      </x:c>
      <x:c r="B129" s="19" t="n">
        <x:v>2</x:v>
      </x:c>
      <x:c r="C129" s="19" t="n">
        <x:v>7</x:v>
      </x:c>
      <x:c r="D129" s="19" t="n">
        <x:v>17</x:v>
      </x:c>
      <x:c r="E129" s="19" t="n">
        <x:v>18</x:v>
      </x:c>
      <x:c r="F129" s="19" t="n">
        <x:v>65</x:v>
      </x:c>
      <x:c r="G129" s="19" t="n">
        <x:v>12578</x:v>
      </x:c>
      <x:c r="H129" s="19" t="n">
        <x:v>2191</x:v>
      </x:c>
      <x:c r="I129" s="21" t="n">
        <x:v>755.1254747620696</x:v>
      </x:c>
      <x:c r="J129" s="21" t="n">
        <x:v>4.35</x:v>
      </x:c>
      <x:c r="K129" s="19" t="n">
        <x:v>0</x:v>
      </x:c>
      <x:c r="L129" s="19" t="n">
        <x:v>0</x:v>
      </x:c>
      <x:c r="M129" s="19" t="n">
        <x:v>56</x:v>
      </x:c>
      <x:c r="N129" s="19" t="n">
        <x:v>4</x:v>
      </x:c>
      <x:c r="O129" s="23" t="n">
        <x:v>311.1773299299918</x:v>
      </x:c>
      <x:c r="P129" s="23" t="n">
        <x:v>155.05372162656315</x:v>
      </x:c>
      <x:c r="Q129" s="23" t="n">
        <x:v>36.3040218251657</x:v>
      </x:c>
      <x:c r="R129" s="23" t="n">
        <x:v>37.21162237079485</x:v>
      </x:c>
      <x:c r="S129" s="25" t="n">
        <x:v>0.050000000000000044</x:v>
      </x:c>
      <x:c r="T129" s="21" t="n">
        <x:v>1.5</x:v>
      </x:c>
      <x:c r="U129" s="23" t="n">
        <x:v>43053.00604089137</x:v>
      </x:c>
      <x:c r="V129" s="23" t="n">
        <x:v>63557.37685461669</x:v>
      </x:c>
      <x:c r="W129" s="23" t="n">
        <x:v>572322.8131626975</x:v>
      </x:c>
      <x:c r="X129" s="23" t="n">
        <x:v>559557.8822375129</x:v>
      </x:c>
      <x:c r="Y129" s="23" t="n">
        <x:v>12726.21772883136</x:v>
      </x:c>
      <x:c r="Z129" s="23" t="n">
        <x:v>0</x:v>
      </x:c>
      <x:c r="AA129" s="23" t="n">
        <x:v>0</x:v>
      </x:c>
      <x:c r="AB129" s="23" t="n">
        <x:v>559557.8822375129</x:v>
      </x:c>
      <x:c r="AC129" s="23" t="n">
        <x:v>12726.21772883136</x:v>
      </x:c>
      <x:c r="AD129" s="19" t="n">
        <x:v>0</x:v>
      </x:c>
      <x:c r="AE129" s="19" t="n">
        <x:v>0</x:v>
      </x:c>
      <x:c r="AF129" s="19" t="n">
        <x:v>0</x:v>
      </x:c>
      <x:c r="AG129" s="19" t="n">
        <x:v>0</x:v>
      </x:c>
      <x:c r="AH129" s="19" t="n">
        <x:v>0</x:v>
      </x:c>
      <x:c r="AI129" s="19" t="n">
        <x:v>0</x:v>
      </x:c>
      <x:c r="AJ129" s="19" t="n">
        <x:v>0</x:v>
      </x:c>
      <x:c r="AK129" s="19" t="n">
        <x:v>0</x:v>
      </x:c>
      <x:c r="AL129" s="23" t="n">
        <x:v>164.4452468800384</x:v>
      </x:c>
      <x:c r="AM129" s="23" t="n">
        <x:v>16.434064031939858</x:v>
      </x:c>
      <x:c r="AN129" s="23" t="n">
        <x:v>55.139675836286635</x:v>
      </x:c>
      <x:c r="AO129" s="23" t="n">
        <x:v>4.594972986357221</x:v>
      </x:c>
      <x:c r="AP129" s="23" t="n">
        <x:v>53.13894747417735</x:v>
      </x:c>
      <x:c r="AQ129" s="19" t="n">
        <x:v>223</x:v>
      </x:c>
      <x:c r="AR129" s="19" t="n">
        <x:v>39</x:v>
      </x:c>
      <x:c r="AS129" s="19" t="n">
        <x:v>0</x:v>
      </x:c>
      <x:c r="AT129" s="19" t="n">
        <x:v>0</x:v>
      </x:c>
    </x:row>
    <x:row r="130" ht="25" customHeight="1">
      <x:c r="A130" s="18" t="str">
        <x:v>no_purchases</x:v>
      </x:c>
      <x:c r="B130" s="18" t="n">
        <x:v>3</x:v>
      </x:c>
      <x:c r="C130" s="18" t="n">
        <x:v>7</x:v>
      </x:c>
      <x:c r="D130" s="18" t="n">
        <x:v>17</x:v>
      </x:c>
      <x:c r="E130" s="18" t="n">
        <x:v>18</x:v>
      </x:c>
      <x:c r="F130" s="18" t="n">
        <x:v>65</x:v>
      </x:c>
      <x:c r="G130" s="18" t="n">
        <x:v>12610</x:v>
      </x:c>
      <x:c r="H130" s="18" t="n">
        <x:v>2197</x:v>
      </x:c>
      <x:c r="I130" s="20" t="n">
        <x:v>1513.0862381423049</x:v>
      </x:c>
      <x:c r="J130" s="20" t="n">
        <x:v>4.35</x:v>
      </x:c>
      <x:c r="K130" s="18" t="n">
        <x:v>0</x:v>
      </x:c>
      <x:c r="L130" s="18" t="n">
        <x:v>0</x:v>
      </x:c>
      <x:c r="M130" s="18" t="n">
        <x:v>56</x:v>
      </x:c>
      <x:c r="N130" s="18" t="n">
        <x:v>2</x:v>
      </x:c>
      <x:c r="O130" s="22" t="n">
        <x:v>311.1773299299918</x:v>
      </x:c>
      <x:c r="P130" s="22" t="n">
        <x:v>245.4410738022322</x:v>
      </x:c>
      <x:c r="Q130" s="22" t="n">
        <x:v>36.3040218251657</x:v>
      </x:c>
      <x:c r="R130" s="22" t="n">
        <x:v>37.21162237079485</x:v>
      </x:c>
      <x:c r="S130" s="24" t="n">
        <x:v>0.050000000000000044</x:v>
      </x:c>
      <x:c r="T130" s="20" t="n">
        <x:v>1.5</x:v>
      </x:c>
      <x:c r="U130" s="22" t="n">
        <x:v>50815.89269538701</x:v>
      </x:c>
      <x:c r="V130" s="22" t="n">
        <x:v>63557.37685461669</x:v>
      </x:c>
      <x:c r="W130" s="22" t="n">
        <x:v>580085.6998171934</x:v>
      </x:c>
      <x:c r="X130" s="22" t="n">
        <x:v>570949.6002750971</x:v>
      </x:c>
      <x:c r="Y130" s="22" t="n">
        <x:v>13346.818447455495</x:v>
      </x:c>
      <x:c r="Z130" s="22" t="n">
        <x:v>0</x:v>
      </x:c>
      <x:c r="AA130" s="22" t="n">
        <x:v>0</x:v>
      </x:c>
      <x:c r="AB130" s="22" t="n">
        <x:v>570949.6002750971</x:v>
      </x:c>
      <x:c r="AC130" s="22" t="n">
        <x:v>13346.818447455495</x:v>
      </x:c>
      <x:c r="AD130" s="18" t="n">
        <x:v>0</x:v>
      </x:c>
      <x:c r="AE130" s="18" t="n">
        <x:v>0</x:v>
      </x:c>
      <x:c r="AF130" s="18" t="n">
        <x:v>0</x:v>
      </x:c>
      <x:c r="AG130" s="18" t="n">
        <x:v>0</x:v>
      </x:c>
      <x:c r="AH130" s="18" t="n">
        <x:v>0</x:v>
      </x:c>
      <x:c r="AI130" s="18" t="n">
        <x:v>0</x:v>
      </x:c>
      <x:c r="AJ130" s="18" t="n">
        <x:v>0</x:v>
      </x:c>
      <x:c r="AK130" s="18" t="n">
        <x:v>0</x:v>
      </x:c>
      <x:c r="AL130" s="22" t="n">
        <x:v>164.4452468800384</x:v>
      </x:c>
      <x:c r="AM130" s="22" t="n">
        <x:v>16.434064031939858</x:v>
      </x:c>
      <x:c r="AN130" s="22" t="n">
        <x:v>55.139675836286635</x:v>
      </x:c>
      <x:c r="AO130" s="22" t="n">
        <x:v>4.594972986357221</x:v>
      </x:c>
      <x:c r="AP130" s="22" t="n">
        <x:v>53.13894747417735</x:v>
      </x:c>
      <x:c r="AQ130" s="18" t="n">
        <x:v>223</x:v>
      </x:c>
      <x:c r="AR130" s="18" t="n">
        <x:v>40</x:v>
      </x:c>
      <x:c r="AS130" s="18" t="n">
        <x:v>0</x:v>
      </x:c>
      <x:c r="AT130" s="18" t="n">
        <x:v>0</x:v>
      </x:c>
    </x:row>
    <x:row r="131" ht="25" customHeight="1">
      <x:c r="A131" s="19" t="str">
        <x:v>no_purchases</x:v>
      </x:c>
      <x:c r="B131" s="19" t="n">
        <x:v>4</x:v>
      </x:c>
      <x:c r="C131" s="19" t="n">
        <x:v>7</x:v>
      </x:c>
      <x:c r="D131" s="19" t="n">
        <x:v>16</x:v>
      </x:c>
      <x:c r="E131" s="19" t="n">
        <x:v>17</x:v>
      </x:c>
      <x:c r="F131" s="19" t="n">
        <x:v>65</x:v>
      </x:c>
      <x:c r="G131" s="19" t="n">
        <x:v>12688</x:v>
      </x:c>
      <x:c r="H131" s="19" t="n">
        <x:v>2175</x:v>
      </x:c>
      <x:c r="I131" s="21" t="n">
        <x:v>844.9474090149369</x:v>
      </x:c>
      <x:c r="J131" s="21" t="n">
        <x:v>4.35</x:v>
      </x:c>
      <x:c r="K131" s="19" t="n">
        <x:v>0</x:v>
      </x:c>
      <x:c r="L131" s="19" t="n">
        <x:v>0</x:v>
      </x:c>
      <x:c r="M131" s="19" t="n">
        <x:v>56</x:v>
      </x:c>
      <x:c r="N131" s="19" t="n">
        <x:v>3</x:v>
      </x:c>
      <x:c r="O131" s="23" t="n">
        <x:v>311.1773299299918</x:v>
      </x:c>
      <x:c r="P131" s="23" t="n">
        <x:v>218.5910536937107</x:v>
      </x:c>
      <x:c r="Q131" s="23" t="n">
        <x:v>36.3040218251657</x:v>
      </x:c>
      <x:c r="R131" s="23" t="n">
        <x:v>37.21162237079485</x:v>
      </x:c>
      <x:c r="S131" s="25" t="n">
        <x:v>0.050000000000000044</x:v>
      </x:c>
      <x:c r="T131" s="21" t="n">
        <x:v>1.5</x:v>
      </x:c>
      <x:c r="U131" s="23" t="n">
        <x:v>43852.587517284104</x:v>
      </x:c>
      <x:c r="V131" s="23" t="n">
        <x:v>63557.37685461669</x:v>
      </x:c>
      <x:c r="W131" s="23" t="n">
        <x:v>573122.3946390899</x:v>
      </x:c>
      <x:c r="X131" s="23" t="n">
        <x:v>558604.01171991</x:v>
      </x:c>
      <x:c r="Y131" s="23" t="n">
        <x:v>13123.753006535635</x:v>
      </x:c>
      <x:c r="Z131" s="23" t="n">
        <x:v>0</x:v>
      </x:c>
      <x:c r="AA131" s="23" t="n">
        <x:v>0</x:v>
      </x:c>
      <x:c r="AB131" s="23" t="n">
        <x:v>558604.01171991</x:v>
      </x:c>
      <x:c r="AC131" s="23" t="n">
        <x:v>13123.753006535635</x:v>
      </x:c>
      <x:c r="AD131" s="19" t="n">
        <x:v>0</x:v>
      </x:c>
      <x:c r="AE131" s="19" t="n">
        <x:v>0</x:v>
      </x:c>
      <x:c r="AF131" s="19" t="n">
        <x:v>0</x:v>
      </x:c>
      <x:c r="AG131" s="19" t="n">
        <x:v>0</x:v>
      </x:c>
      <x:c r="AH131" s="19" t="n">
        <x:v>0</x:v>
      </x:c>
      <x:c r="AI131" s="19" t="n">
        <x:v>0</x:v>
      </x:c>
      <x:c r="AJ131" s="19" t="n">
        <x:v>0</x:v>
      </x:c>
      <x:c r="AK131" s="19" t="n">
        <x:v>0</x:v>
      </x:c>
      <x:c r="AL131" s="23" t="n">
        <x:v>152.264117481517</x:v>
      </x:c>
      <x:c r="AM131" s="23" t="n">
        <x:v>15.431046039380153</x:v>
      </x:c>
      <x:c r="AN131" s="23" t="n">
        <x:v>50.126978032987836</x:v>
      </x:c>
      <x:c r="AO131" s="23" t="n">
        <x:v>4.1772481694156545</x:v>
      </x:c>
      <x:c r="AP131" s="23" t="n">
        <x:v>49.66256773287601</x:v>
      </x:c>
      <x:c r="AQ131" s="19" t="n">
        <x:v>227</x:v>
      </x:c>
      <x:c r="AR131" s="19" t="n">
        <x:v>38</x:v>
      </x:c>
      <x:c r="AS131" s="19" t="n">
        <x:v>0</x:v>
      </x:c>
      <x:c r="AT131" s="19" t="n">
        <x:v>0</x:v>
      </x:c>
    </x:row>
    <x:row r="132" ht="25" customHeight="1">
      <x:c r="A132" s="18" t="str">
        <x:v>no_purchases</x:v>
      </x:c>
      <x:c r="B132" s="18" t="n">
        <x:v>5</x:v>
      </x:c>
      <x:c r="C132" s="18" t="n">
        <x:v>7</x:v>
      </x:c>
      <x:c r="D132" s="18" t="n">
        <x:v>16</x:v>
      </x:c>
      <x:c r="E132" s="18" t="n">
        <x:v>17</x:v>
      </x:c>
      <x:c r="F132" s="18" t="n">
        <x:v>65</x:v>
      </x:c>
      <x:c r="G132" s="18" t="n">
        <x:v>12786</x:v>
      </x:c>
      <x:c r="H132" s="18" t="n">
        <x:v>2144</x:v>
      </x:c>
      <x:c r="I132" s="20" t="n">
        <x:v>848.943696843897</x:v>
      </x:c>
      <x:c r="J132" s="20" t="n">
        <x:v>4.35</x:v>
      </x:c>
      <x:c r="K132" s="18" t="n">
        <x:v>0</x:v>
      </x:c>
      <x:c r="L132" s="18" t="n">
        <x:v>0</x:v>
      </x:c>
      <x:c r="M132" s="18" t="n">
        <x:v>56</x:v>
      </x:c>
      <x:c r="N132" s="18" t="n">
        <x:v>2</x:v>
      </x:c>
      <x:c r="O132" s="22" t="n">
        <x:v>311.1773299299918</x:v>
      </x:c>
      <x:c r="P132" s="22" t="n">
        <x:v>241.73762275278114</x:v>
      </x:c>
      <x:c r="Q132" s="22" t="n">
        <x:v>36.3040218251657</x:v>
      </x:c>
      <x:c r="R132" s="22" t="n">
        <x:v>37.21162237079485</x:v>
      </x:c>
      <x:c r="S132" s="24" t="n">
        <x:v>0.050000000000000044</x:v>
      </x:c>
      <x:c r="T132" s="20" t="n">
        <x:v>1.5</x:v>
      </x:c>
      <x:c r="U132" s="22" t="n">
        <x:v>25703.899068840798</x:v>
      </x:c>
      <x:c r="V132" s="22" t="n">
        <x:v>63557.37685461669</x:v>
      </x:c>
      <x:c r="W132" s="22" t="n">
        <x:v>554973.7061906467</x:v>
      </x:c>
      <x:c r="X132" s="22" t="n">
        <x:v>532083.6128840287</x:v>
      </x:c>
      <x:c r="Y132" s="22" t="n">
        <x:v>12527.452603599282</x:v>
      </x:c>
      <x:c r="Z132" s="22" t="n">
        <x:v>0</x:v>
      </x:c>
      <x:c r="AA132" s="22" t="n">
        <x:v>0</x:v>
      </x:c>
      <x:c r="AB132" s="22" t="n">
        <x:v>532083.6128840287</x:v>
      </x:c>
      <x:c r="AC132" s="22" t="n">
        <x:v>12527.452603599282</x:v>
      </x:c>
      <x:c r="AD132" s="18" t="n">
        <x:v>0</x:v>
      </x:c>
      <x:c r="AE132" s="18" t="n">
        <x:v>0</x:v>
      </x:c>
      <x:c r="AF132" s="18" t="n">
        <x:v>0</x:v>
      </x:c>
      <x:c r="AG132" s="18" t="n">
        <x:v>0</x:v>
      </x:c>
      <x:c r="AH132" s="18" t="n">
        <x:v>0</x:v>
      </x:c>
      <x:c r="AI132" s="18" t="n">
        <x:v>0</x:v>
      </x:c>
      <x:c r="AJ132" s="18" t="n">
        <x:v>0</x:v>
      </x:c>
      <x:c r="AK132" s="18" t="n">
        <x:v>0</x:v>
      </x:c>
      <x:c r="AL132" s="22" t="n">
        <x:v>152.264117481517</x:v>
      </x:c>
      <x:c r="AM132" s="22" t="n">
        <x:v>15.431046039380153</x:v>
      </x:c>
      <x:c r="AN132" s="22" t="n">
        <x:v>50.126978032987836</x:v>
      </x:c>
      <x:c r="AO132" s="22" t="n">
        <x:v>4.1772481694156545</x:v>
      </x:c>
      <x:c r="AP132" s="22" t="n">
        <x:v>49.66256773287601</x:v>
      </x:c>
      <x:c r="AQ132" s="18" t="n">
        <x:v>225</x:v>
      </x:c>
      <x:c r="AR132" s="18" t="n">
        <x:v>38</x:v>
      </x:c>
      <x:c r="AS132" s="18" t="n">
        <x:v>0</x:v>
      </x:c>
      <x:c r="AT132" s="18" t="n">
        <x:v>0</x:v>
      </x:c>
    </x:row>
    <x:row r="133" ht="25" customHeight="1">
      <x:c r="A133" s="19" t="str">
        <x:v>no_purchases</x:v>
      </x:c>
      <x:c r="B133" s="19" t="n">
        <x:v>6</x:v>
      </x:c>
      <x:c r="C133" s="19" t="n">
        <x:v>7</x:v>
      </x:c>
      <x:c r="D133" s="19" t="n">
        <x:v>17</x:v>
      </x:c>
      <x:c r="E133" s="19" t="n">
        <x:v>19</x:v>
      </x:c>
      <x:c r="F133" s="19" t="n">
        <x:v>65</x:v>
      </x:c>
      <x:c r="G133" s="19" t="n">
        <x:v>12528</x:v>
      </x:c>
      <x:c r="H133" s="19" t="n">
        <x:v>2235</x:v>
      </x:c>
      <x:c r="I133" s="21" t="n">
        <x:v>1854.3628195068668</x:v>
      </x:c>
      <x:c r="J133" s="21" t="n">
        <x:v>4.35</x:v>
      </x:c>
      <x:c r="K133" s="19" t="n">
        <x:v>0</x:v>
      </x:c>
      <x:c r="L133" s="19" t="n">
        <x:v>0</x:v>
      </x:c>
      <x:c r="M133" s="19" t="n">
        <x:v>56</x:v>
      </x:c>
      <x:c r="N133" s="19" t="n">
        <x:v>5</x:v>
      </x:c>
      <x:c r="O133" s="23" t="n">
        <x:v>311.1773299299918</x:v>
      </x:c>
      <x:c r="P133" s="23" t="n">
        <x:v>59.73615024131194</x:v>
      </x:c>
      <x:c r="Q133" s="23" t="n">
        <x:v>36.3040218251657</x:v>
      </x:c>
      <x:c r="R133" s="23" t="n">
        <x:v>37.21162237079485</x:v>
      </x:c>
      <x:c r="S133" s="25" t="n">
        <x:v>0.050000000000000044</x:v>
      </x:c>
      <x:c r="T133" s="21" t="n">
        <x:v>1.5</x:v>
      </x:c>
      <x:c r="U133" s="23" t="n">
        <x:v>55198.11963436832</x:v>
      </x:c>
      <x:c r="V133" s="23" t="n">
        <x:v>63557.37685461669</x:v>
      </x:c>
      <x:c r="W133" s="23" t="n">
        <x:v>584467.926756175</x:v>
      </x:c>
      <x:c r="X133" s="23" t="n">
        <x:v>578222.9073437831</x:v>
      </x:c>
      <x:c r="Y133" s="23" t="n">
        <x:v>13147.846436685088</x:v>
      </x:c>
      <x:c r="Z133" s="23" t="n">
        <x:v>0</x:v>
      </x:c>
      <x:c r="AA133" s="23" t="n">
        <x:v>0</x:v>
      </x:c>
      <x:c r="AB133" s="23" t="n">
        <x:v>578222.9073437831</x:v>
      </x:c>
      <x:c r="AC133" s="23" t="n">
        <x:v>13147.846436685088</x:v>
      </x:c>
      <x:c r="AD133" s="19" t="n">
        <x:v>0</x:v>
      </x:c>
      <x:c r="AE133" s="19" t="n">
        <x:v>0</x:v>
      </x:c>
      <x:c r="AF133" s="19" t="n">
        <x:v>0</x:v>
      </x:c>
      <x:c r="AG133" s="19" t="n">
        <x:v>0</x:v>
      </x:c>
      <x:c r="AH133" s="19" t="n">
        <x:v>0</x:v>
      </x:c>
      <x:c r="AI133" s="19" t="n">
        <x:v>0</x:v>
      </x:c>
      <x:c r="AJ133" s="19" t="n">
        <x:v>0</x:v>
      </x:c>
      <x:c r="AK133" s="19" t="n">
        <x:v>0</x:v>
      </x:c>
      <x:c r="AL133" s="23" t="n">
        <x:v>164.4452468800384</x:v>
      </x:c>
      <x:c r="AM133" s="23" t="n">
        <x:v>16.434064031939858</x:v>
      </x:c>
      <x:c r="AN133" s="23" t="n">
        <x:v>55.139675836286635</x:v>
      </x:c>
      <x:c r="AO133" s="23" t="n">
        <x:v>4.594972986357221</x:v>
      </x:c>
      <x:c r="AP133" s="23" t="n">
        <x:v>53.13894747417735</x:v>
      </x:c>
      <x:c r="AQ133" s="19" t="n">
        <x:v>222</x:v>
      </x:c>
      <x:c r="AR133" s="19" t="n">
        <x:v>40</x:v>
      </x:c>
      <x:c r="AS133" s="19" t="n">
        <x:v>0</x:v>
      </x:c>
      <x:c r="AT133" s="19" t="n">
        <x:v>0</x:v>
      </x:c>
    </x:row>
    <x:row r="134" ht="25" customHeight="1">
      <x:c r="A134" s="18" t="str">
        <x:v>no_purchases</x:v>
      </x:c>
      <x:c r="B134" s="18" t="n">
        <x:v>7</x:v>
      </x:c>
      <x:c r="C134" s="18" t="n">
        <x:v>7</x:v>
      </x:c>
      <x:c r="D134" s="18" t="n">
        <x:v>18</x:v>
      </x:c>
      <x:c r="E134" s="18" t="n">
        <x:v>19</x:v>
      </x:c>
      <x:c r="F134" s="18" t="n">
        <x:v>65</x:v>
      </x:c>
      <x:c r="G134" s="18" t="n">
        <x:v>12458</x:v>
      </x:c>
      <x:c r="H134" s="18" t="n">
        <x:v>2261</x:v>
      </x:c>
      <x:c r="I134" s="20" t="n">
        <x:v>1274.6423192824413</x:v>
      </x:c>
      <x:c r="J134" s="20" t="n">
        <x:v>4.35</x:v>
      </x:c>
      <x:c r="K134" s="18" t="n">
        <x:v>0</x:v>
      </x:c>
      <x:c r="L134" s="18" t="n">
        <x:v>0</x:v>
      </x:c>
      <x:c r="M134" s="18" t="n">
        <x:v>56</x:v>
      </x:c>
      <x:c r="N134" s="18" t="n">
        <x:v>1</x:v>
      </x:c>
      <x:c r="O134" s="22" t="n">
        <x:v>311.1773299299918</x:v>
      </x:c>
      <x:c r="P134" s="22" t="n">
        <x:v>34.016840031326005</x:v>
      </x:c>
      <x:c r="Q134" s="22" t="n">
        <x:v>36.3040218251657</x:v>
      </x:c>
      <x:c r="R134" s="22" t="n">
        <x:v>37.21162237079485</x:v>
      </x:c>
      <x:c r="S134" s="24" t="n">
        <x:v>0.050000000000000044</x:v>
      </x:c>
      <x:c r="T134" s="20" t="n">
        <x:v>1.5</x:v>
      </x:c>
      <x:c r="U134" s="22" t="n">
        <x:v>54786.222821273564</x:v>
      </x:c>
      <x:c r="V134" s="22" t="n">
        <x:v>63557.37685461669</x:v>
      </x:c>
      <x:c r="W134" s="22" t="n">
        <x:v>584056.02994308</x:v>
      </x:c>
      <x:c r="X134" s="22" t="n">
        <x:v>579145.9038407863</x:v>
      </x:c>
      <x:c r="Y134" s="22" t="n">
        <x:v>13333.7064309274</x:v>
      </x:c>
      <x:c r="Z134" s="22" t="n">
        <x:v>0</x:v>
      </x:c>
      <x:c r="AA134" s="22" t="n">
        <x:v>0</x:v>
      </x:c>
      <x:c r="AB134" s="22" t="n">
        <x:v>579145.9038407863</x:v>
      </x:c>
      <x:c r="AC134" s="22" t="n">
        <x:v>13333.7064309274</x:v>
      </x:c>
      <x:c r="AD134" s="18" t="n">
        <x:v>0</x:v>
      </x:c>
      <x:c r="AE134" s="18" t="n">
        <x:v>0</x:v>
      </x:c>
      <x:c r="AF134" s="18" t="n">
        <x:v>0</x:v>
      </x:c>
      <x:c r="AG134" s="18" t="n">
        <x:v>0</x:v>
      </x:c>
      <x:c r="AH134" s="18" t="n">
        <x:v>0</x:v>
      </x:c>
      <x:c r="AI134" s="18" t="n">
        <x:v>0</x:v>
      </x:c>
      <x:c r="AJ134" s="18" t="n">
        <x:v>0</x:v>
      </x:c>
      <x:c r="AK134" s="18" t="n">
        <x:v>0</x:v>
      </x:c>
      <x:c r="AL134" s="22" t="n">
        <x:v>177.60086663044137</x:v>
      </x:c>
      <x:c r="AM134" s="22" t="n">
        <x:v>17.50227819401595</x:v>
      </x:c>
      <x:c r="AN134" s="22" t="n">
        <x:v>60.65364341991531</x:v>
      </x:c>
      <x:c r="AO134" s="22" t="n">
        <x:v>5.054470284992943</x:v>
      </x:c>
      <x:c r="AP134" s="22" t="n">
        <x:v>56.85867379736975</x:v>
      </x:c>
      <x:c r="AQ134" s="18" t="n">
        <x:v>222</x:v>
      </x:c>
      <x:c r="AR134" s="18" t="n">
        <x:v>39</x:v>
      </x:c>
      <x:c r="AS134" s="18" t="n">
        <x:v>1</x:v>
      </x:c>
      <x:c r="AT134" s="18" t="n">
        <x:v>0</x:v>
      </x:c>
    </x:row>
    <x:row r="135" ht="25" customHeight="1">
      <x:c r="A135" s="19" t="str">
        <x:v>no_purchases</x:v>
      </x:c>
      <x:c r="B135" s="19" t="n">
        <x:v>8</x:v>
      </x:c>
      <x:c r="C135" s="19" t="n">
        <x:v>7</x:v>
      </x:c>
      <x:c r="D135" s="19" t="n">
        <x:v>17</x:v>
      </x:c>
      <x:c r="E135" s="19" t="n">
        <x:v>18</x:v>
      </x:c>
      <x:c r="F135" s="19" t="n">
        <x:v>65</x:v>
      </x:c>
      <x:c r="G135" s="19" t="n">
        <x:v>12643</x:v>
      </x:c>
      <x:c r="H135" s="19" t="n">
        <x:v>2193</x:v>
      </x:c>
      <x:c r="I135" s="21" t="n">
        <x:v>239.53660993154153</x:v>
      </x:c>
      <x:c r="J135" s="21" t="n">
        <x:v>4.35</x:v>
      </x:c>
      <x:c r="K135" s="19" t="n">
        <x:v>0</x:v>
      </x:c>
      <x:c r="L135" s="19" t="n">
        <x:v>0</x:v>
      </x:c>
      <x:c r="M135" s="19" t="n">
        <x:v>56</x:v>
      </x:c>
      <x:c r="N135" s="19" t="n">
        <x:v>2</x:v>
      </x:c>
      <x:c r="O135" s="23" t="n">
        <x:v>311.1773299299918</x:v>
      </x:c>
      <x:c r="P135" s="23" t="n">
        <x:v>261.8751378341721</x:v>
      </x:c>
      <x:c r="Q135" s="23" t="n">
        <x:v>36.3040218251657</x:v>
      </x:c>
      <x:c r="R135" s="23" t="n">
        <x:v>37.21162237079485</x:v>
      </x:c>
      <x:c r="S135" s="25" t="n">
        <x:v>0.050000000000000044</x:v>
      </x:c>
      <x:c r="T135" s="21" t="n">
        <x:v>1.5</x:v>
      </x:c>
      <x:c r="U135" s="23" t="n">
        <x:v>44098.710488925055</x:v>
      </x:c>
      <x:c r="V135" s="23" t="n">
        <x:v>63557.37685461669</x:v>
      </x:c>
      <x:c r="W135" s="23" t="n">
        <x:v>573368.517610731</x:v>
      </x:c>
      <x:c r="X135" s="23" t="n">
        <x:v>560366.4024319225</x:v>
      </x:c>
      <x:c r="Y135" s="23" t="n">
        <x:v>12618.251421686047</x:v>
      </x:c>
      <x:c r="Z135" s="23" t="n">
        <x:v>0</x:v>
      </x:c>
      <x:c r="AA135" s="23" t="n">
        <x:v>0</x:v>
      </x:c>
      <x:c r="AB135" s="23" t="n">
        <x:v>560366.4024319225</x:v>
      </x:c>
      <x:c r="AC135" s="23" t="n">
        <x:v>12618.251421686047</x:v>
      </x:c>
      <x:c r="AD135" s="19" t="n">
        <x:v>0</x:v>
      </x:c>
      <x:c r="AE135" s="19" t="n">
        <x:v>0</x:v>
      </x:c>
      <x:c r="AF135" s="19" t="n">
        <x:v>0</x:v>
      </x:c>
      <x:c r="AG135" s="19" t="n">
        <x:v>0</x:v>
      </x:c>
      <x:c r="AH135" s="19" t="n">
        <x:v>0</x:v>
      </x:c>
      <x:c r="AI135" s="19" t="n">
        <x:v>0</x:v>
      </x:c>
      <x:c r="AJ135" s="19" t="n">
        <x:v>0</x:v>
      </x:c>
      <x:c r="AK135" s="19" t="n">
        <x:v>0</x:v>
      </x:c>
      <x:c r="AL135" s="23" t="n">
        <x:v>164.4452468800384</x:v>
      </x:c>
      <x:c r="AM135" s="23" t="n">
        <x:v>16.434064031939858</x:v>
      </x:c>
      <x:c r="AN135" s="23" t="n">
        <x:v>55.139675836286635</x:v>
      </x:c>
      <x:c r="AO135" s="23" t="n">
        <x:v>4.594972986357221</x:v>
      </x:c>
      <x:c r="AP135" s="23" t="n">
        <x:v>53.13894747417735</x:v>
      </x:c>
      <x:c r="AQ135" s="19" t="n">
        <x:v>223</x:v>
      </x:c>
      <x:c r="AR135" s="19" t="n">
        <x:v>40</x:v>
      </x:c>
      <x:c r="AS135" s="19" t="n">
        <x:v>-1</x:v>
      </x:c>
      <x:c r="AT135" s="19" t="n">
        <x:v>0</x:v>
      </x:c>
    </x:row>
    <x:row r="136" ht="25" customHeight="1">
      <x:c r="A136" s="18" t="str">
        <x:v>no_purchases</x:v>
      </x:c>
      <x:c r="B136" s="18" t="n">
        <x:v>9</x:v>
      </x:c>
      <x:c r="C136" s="18" t="n">
        <x:v>7</x:v>
      </x:c>
      <x:c r="D136" s="18" t="n">
        <x:v>16</x:v>
      </x:c>
      <x:c r="E136" s="18" t="n">
        <x:v>17</x:v>
      </x:c>
      <x:c r="F136" s="18" t="n">
        <x:v>65</x:v>
      </x:c>
      <x:c r="G136" s="18" t="n">
        <x:v>12698</x:v>
      </x:c>
      <x:c r="H136" s="18" t="n">
        <x:v>2149</x:v>
      </x:c>
      <x:c r="I136" s="20" t="n">
        <x:v>850.366011140422</x:v>
      </x:c>
      <x:c r="J136" s="20" t="n">
        <x:v>4.35</x:v>
      </x:c>
      <x:c r="K136" s="18" t="n">
        <x:v>0</x:v>
      </x:c>
      <x:c r="L136" s="18" t="n">
        <x:v>0</x:v>
      </x:c>
      <x:c r="M136" s="18" t="n">
        <x:v>56</x:v>
      </x:c>
      <x:c r="N136" s="18" t="n">
        <x:v>2</x:v>
      </x:c>
      <x:c r="O136" s="22" t="n">
        <x:v>311.1773299299918</x:v>
      </x:c>
      <x:c r="P136" s="22" t="n">
        <x:v>264.88419181185117</x:v>
      </x:c>
      <x:c r="Q136" s="22" t="n">
        <x:v>36.3040218251657</x:v>
      </x:c>
      <x:c r="R136" s="22" t="n">
        <x:v>37.21162237079485</x:v>
      </x:c>
      <x:c r="S136" s="24" t="n">
        <x:v>0.050000000000000044</x:v>
      </x:c>
      <x:c r="T136" s="20" t="n">
        <x:v>1.5</x:v>
      </x:c>
      <x:c r="U136" s="22" t="n">
        <x:v>32953.718748140236</x:v>
      </x:c>
      <x:c r="V136" s="22" t="n">
        <x:v>63557.37685461669</x:v>
      </x:c>
      <x:c r="W136" s="22" t="n">
        <x:v>562223.5258699467</x:v>
      </x:c>
      <x:c r="X136" s="22" t="n">
        <x:v>543440.0472376684</x:v>
      </x:c>
      <x:c r="Y136" s="22" t="n">
        <x:v>12571.642092831413</x:v>
      </x:c>
      <x:c r="Z136" s="22" t="n">
        <x:v>0</x:v>
      </x:c>
      <x:c r="AA136" s="22" t="n">
        <x:v>0</x:v>
      </x:c>
      <x:c r="AB136" s="22" t="n">
        <x:v>543440.0472376684</x:v>
      </x:c>
      <x:c r="AC136" s="22" t="n">
        <x:v>12571.642092831413</x:v>
      </x:c>
      <x:c r="AD136" s="18" t="n">
        <x:v>0</x:v>
      </x:c>
      <x:c r="AE136" s="18" t="n">
        <x:v>0</x:v>
      </x:c>
      <x:c r="AF136" s="18" t="n">
        <x:v>0</x:v>
      </x:c>
      <x:c r="AG136" s="18" t="n">
        <x:v>0</x:v>
      </x:c>
      <x:c r="AH136" s="18" t="n">
        <x:v>0</x:v>
      </x:c>
      <x:c r="AI136" s="18" t="n">
        <x:v>0</x:v>
      </x:c>
      <x:c r="AJ136" s="18" t="n">
        <x:v>0</x:v>
      </x:c>
      <x:c r="AK136" s="18" t="n">
        <x:v>0</x:v>
      </x:c>
      <x:c r="AL136" s="22" t="n">
        <x:v>152.264117481517</x:v>
      </x:c>
      <x:c r="AM136" s="22" t="n">
        <x:v>15.431046039380153</x:v>
      </x:c>
      <x:c r="AN136" s="22" t="n">
        <x:v>50.126978032987836</x:v>
      </x:c>
      <x:c r="AO136" s="22" t="n">
        <x:v>4.1772481694156545</x:v>
      </x:c>
      <x:c r="AP136" s="22" t="n">
        <x:v>49.66256773287601</x:v>
      </x:c>
      <x:c r="AQ136" s="18" t="n">
        <x:v>226</x:v>
      </x:c>
      <x:c r="AR136" s="18" t="n">
        <x:v>38</x:v>
      </x:c>
      <x:c r="AS136" s="18" t="n">
        <x:v>0</x:v>
      </x:c>
      <x:c r="AT136" s="18" t="n">
        <x:v>0</x:v>
      </x:c>
    </x:row>
    <x:row r="137" ht="25" customHeight="1">
      <x:c r="A137" s="19" t="str">
        <x:v>no_purchases</x:v>
      </x:c>
      <x:c r="B137" s="19" t="n">
        <x:v>10</x:v>
      </x:c>
      <x:c r="C137" s="19" t="n">
        <x:v>7</x:v>
      </x:c>
      <x:c r="D137" s="19" t="n">
        <x:v>17</x:v>
      </x:c>
      <x:c r="E137" s="19" t="n">
        <x:v>19</x:v>
      </x:c>
      <x:c r="F137" s="19" t="n">
        <x:v>65</x:v>
      </x:c>
      <x:c r="G137" s="19" t="n">
        <x:v>12488</x:v>
      </x:c>
      <x:c r="H137" s="19" t="n">
        <x:v>2250</x:v>
      </x:c>
      <x:c r="I137" s="21" t="n">
        <x:v>2608.527341983147</x:v>
      </x:c>
      <x:c r="J137" s="21" t="n">
        <x:v>4.35</x:v>
      </x:c>
      <x:c r="K137" s="19" t="n">
        <x:v>0</x:v>
      </x:c>
      <x:c r="L137" s="19" t="n">
        <x:v>0</x:v>
      </x:c>
      <x:c r="M137" s="19" t="n">
        <x:v>56</x:v>
      </x:c>
      <x:c r="N137" s="19" t="n">
        <x:v>4</x:v>
      </x:c>
      <x:c r="O137" s="23" t="n">
        <x:v>311.1773299299918</x:v>
      </x:c>
      <x:c r="P137" s="23" t="n">
        <x:v>113.96856154671346</x:v>
      </x:c>
      <x:c r="Q137" s="23" t="n">
        <x:v>36.3040218251657</x:v>
      </x:c>
      <x:c r="R137" s="23" t="n">
        <x:v>37.21162237079485</x:v>
      </x:c>
      <x:c r="S137" s="25" t="n">
        <x:v>0.050000000000000044</x:v>
      </x:c>
      <x:c r="T137" s="21" t="n">
        <x:v>1.5</x:v>
      </x:c>
      <x:c r="U137" s="23" t="n">
        <x:v>55975.6535312474</x:v>
      </x:c>
      <x:c r="V137" s="23" t="n">
        <x:v>63557.37685461669</x:v>
      </x:c>
      <x:c r="W137" s="23" t="n">
        <x:v>585245.4606530542</x:v>
      </x:c>
      <x:c r="X137" s="23" t="n">
        <x:v>579836.8689302598</x:v>
      </x:c>
      <x:c r="Y137" s="23" t="n">
        <x:v>13448.723256493166</x:v>
      </x:c>
      <x:c r="Z137" s="23" t="n">
        <x:v>0</x:v>
      </x:c>
      <x:c r="AA137" s="23" t="n">
        <x:v>0</x:v>
      </x:c>
      <x:c r="AB137" s="23" t="n">
        <x:v>579836.8689302598</x:v>
      </x:c>
      <x:c r="AC137" s="23" t="n">
        <x:v>13448.723256493166</x:v>
      </x:c>
      <x:c r="AD137" s="19" t="n">
        <x:v>0</x:v>
      </x:c>
      <x:c r="AE137" s="19" t="n">
        <x:v>0</x:v>
      </x:c>
      <x:c r="AF137" s="19" t="n">
        <x:v>0</x:v>
      </x:c>
      <x:c r="AG137" s="19" t="n">
        <x:v>0</x:v>
      </x:c>
      <x:c r="AH137" s="19" t="n">
        <x:v>0</x:v>
      </x:c>
      <x:c r="AI137" s="19" t="n">
        <x:v>0</x:v>
      </x:c>
      <x:c r="AJ137" s="19" t="n">
        <x:v>0</x:v>
      </x:c>
      <x:c r="AK137" s="19" t="n">
        <x:v>0</x:v>
      </x:c>
      <x:c r="AL137" s="23" t="n">
        <x:v>164.4452468800384</x:v>
      </x:c>
      <x:c r="AM137" s="23" t="n">
        <x:v>16.434064031939858</x:v>
      </x:c>
      <x:c r="AN137" s="23" t="n">
        <x:v>55.139675836286635</x:v>
      </x:c>
      <x:c r="AO137" s="23" t="n">
        <x:v>4.594972986357221</x:v>
      </x:c>
      <x:c r="AP137" s="23" t="n">
        <x:v>53.13894747417735</x:v>
      </x:c>
      <x:c r="AQ137" s="19" t="n">
        <x:v>223</x:v>
      </x:c>
      <x:c r="AR137" s="19" t="n">
        <x:v>40</x:v>
      </x:c>
      <x:c r="AS137" s="19" t="n">
        <x:v>-1</x:v>
      </x:c>
      <x:c r="AT137" s="19" t="n">
        <x:v>0</x:v>
      </x:c>
    </x:row>
    <x:row r="138" ht="25" customHeight="1">
      <x:c r="A138" s="18" t="str">
        <x:v>no_purchases</x:v>
      </x:c>
      <x:c r="B138" s="18" t="n">
        <x:v>11</x:v>
      </x:c>
      <x:c r="C138" s="18" t="n">
        <x:v>7</x:v>
      </x:c>
      <x:c r="D138" s="18" t="n">
        <x:v>16</x:v>
      </x:c>
      <x:c r="E138" s="18" t="n">
        <x:v>17</x:v>
      </x:c>
      <x:c r="F138" s="18" t="n">
        <x:v>65</x:v>
      </x:c>
      <x:c r="G138" s="18" t="n">
        <x:v>12646</x:v>
      </x:c>
      <x:c r="H138" s="18" t="n">
        <x:v>2181</x:v>
      </x:c>
      <x:c r="I138" s="20" t="n">
        <x:v>845.1515144724121</x:v>
      </x:c>
      <x:c r="J138" s="20" t="n">
        <x:v>4.35</x:v>
      </x:c>
      <x:c r="K138" s="18" t="n">
        <x:v>0</x:v>
      </x:c>
      <x:c r="L138" s="18" t="n">
        <x:v>0</x:v>
      </x:c>
      <x:c r="M138" s="18" t="n">
        <x:v>56</x:v>
      </x:c>
      <x:c r="N138" s="18" t="n">
        <x:v>4</x:v>
      </x:c>
      <x:c r="O138" s="22" t="n">
        <x:v>311.1773299299918</x:v>
      </x:c>
      <x:c r="P138" s="22" t="n">
        <x:v>172.2979155755703</x:v>
      </x:c>
      <x:c r="Q138" s="22" t="n">
        <x:v>36.3040218251657</x:v>
      </x:c>
      <x:c r="R138" s="22" t="n">
        <x:v>37.21162237079485</x:v>
      </x:c>
      <x:c r="S138" s="24" t="n">
        <x:v>0.050000000000000044</x:v>
      </x:c>
      <x:c r="T138" s="20" t="n">
        <x:v>1.5</x:v>
      </x:c>
      <x:c r="U138" s="22" t="n">
        <x:v>48132.70185485392</x:v>
      </x:c>
      <x:c r="V138" s="22" t="n">
        <x:v>63557.37685461669</x:v>
      </x:c>
      <x:c r="W138" s="22" t="n">
        <x:v>577402.50897666</x:v>
      </x:c>
      <x:c r="X138" s="22" t="n">
        <x:v>565735.3806449965</x:v>
      </x:c>
      <x:c r="Y138" s="22" t="n">
        <x:v>12979.019117853124</x:v>
      </x:c>
      <x:c r="Z138" s="22" t="n">
        <x:v>0</x:v>
      </x:c>
      <x:c r="AA138" s="22" t="n">
        <x:v>0</x:v>
      </x:c>
      <x:c r="AB138" s="22" t="n">
        <x:v>565735.3806449965</x:v>
      </x:c>
      <x:c r="AC138" s="22" t="n">
        <x:v>12979.019117853124</x:v>
      </x:c>
      <x:c r="AD138" s="18" t="n">
        <x:v>0</x:v>
      </x:c>
      <x:c r="AE138" s="18" t="n">
        <x:v>0</x:v>
      </x:c>
      <x:c r="AF138" s="18" t="n">
        <x:v>0</x:v>
      </x:c>
      <x:c r="AG138" s="18" t="n">
        <x:v>0</x:v>
      </x:c>
      <x:c r="AH138" s="18" t="n">
        <x:v>0</x:v>
      </x:c>
      <x:c r="AI138" s="18" t="n">
        <x:v>0</x:v>
      </x:c>
      <x:c r="AJ138" s="18" t="n">
        <x:v>0</x:v>
      </x:c>
      <x:c r="AK138" s="18" t="n">
        <x:v>0</x:v>
      </x:c>
      <x:c r="AL138" s="22" t="n">
        <x:v>152.264117481517</x:v>
      </x:c>
      <x:c r="AM138" s="22" t="n">
        <x:v>15.431046039380153</x:v>
      </x:c>
      <x:c r="AN138" s="22" t="n">
        <x:v>50.126978032987836</x:v>
      </x:c>
      <x:c r="AO138" s="22" t="n">
        <x:v>4.1772481694156545</x:v>
      </x:c>
      <x:c r="AP138" s="22" t="n">
        <x:v>49.66256773287601</x:v>
      </x:c>
      <x:c r="AQ138" s="18" t="n">
        <x:v>226</x:v>
      </x:c>
      <x:c r="AR138" s="18" t="n">
        <x:v>38</x:v>
      </x:c>
      <x:c r="AS138" s="18" t="n">
        <x:v>-1</x:v>
      </x:c>
      <x:c r="AT138" s="18" t="n">
        <x:v>0</x:v>
      </x:c>
    </x:row>
    <x:row r="139" ht="25" customHeight="1">
      <x:c r="A139" s="19" t="str">
        <x:v>no_purchases</x:v>
      </x:c>
      <x:c r="B139" s="19" t="n">
        <x:v>12</x:v>
      </x:c>
      <x:c r="C139" s="19" t="n">
        <x:v>7</x:v>
      </x:c>
      <x:c r="D139" s="19" t="n">
        <x:v>17</x:v>
      </x:c>
      <x:c r="E139" s="19" t="n">
        <x:v>18</x:v>
      </x:c>
      <x:c r="F139" s="19" t="n">
        <x:v>65</x:v>
      </x:c>
      <x:c r="G139" s="19" t="n">
        <x:v>12527</x:v>
      </x:c>
      <x:c r="H139" s="19" t="n">
        <x:v>2230</x:v>
      </x:c>
      <x:c r="I139" s="21" t="n">
        <x:v>892.21288122567</x:v>
      </x:c>
      <x:c r="J139" s="21" t="n">
        <x:v>4.35</x:v>
      </x:c>
      <x:c r="K139" s="19" t="n">
        <x:v>0</x:v>
      </x:c>
      <x:c r="L139" s="19" t="n">
        <x:v>0</x:v>
      </x:c>
      <x:c r="M139" s="19" t="n">
        <x:v>56</x:v>
      </x:c>
      <x:c r="N139" s="19" t="n">
        <x:v>2</x:v>
      </x:c>
      <x:c r="O139" s="23" t="n">
        <x:v>311.1773299299918</x:v>
      </x:c>
      <x:c r="P139" s="23" t="n">
        <x:v>261.8751378341721</x:v>
      </x:c>
      <x:c r="Q139" s="23" t="n">
        <x:v>36.3040218251657</x:v>
      </x:c>
      <x:c r="R139" s="23" t="n">
        <x:v>37.21162237079485</x:v>
      </x:c>
      <x:c r="S139" s="25" t="n">
        <x:v>0.050000000000000044</x:v>
      </x:c>
      <x:c r="T139" s="21" t="n">
        <x:v>1.5</x:v>
      </x:c>
      <x:c r="U139" s="23" t="n">
        <x:v>55770.73368755286</x:v>
      </x:c>
      <x:c r="V139" s="23" t="n">
        <x:v>63557.37685461669</x:v>
      </x:c>
      <x:c r="W139" s="23" t="n">
        <x:v>585040.5408093588</x:v>
      </x:c>
      <x:c r="X139" s="23" t="n">
        <x:v>578649.2210529716</x:v>
      </x:c>
      <x:c r="Y139" s="23" t="n">
        <x:v>13518.227729112512</x:v>
      </x:c>
      <x:c r="Z139" s="23" t="n">
        <x:v>0</x:v>
      </x:c>
      <x:c r="AA139" s="23" t="n">
        <x:v>0</x:v>
      </x:c>
      <x:c r="AB139" s="23" t="n">
        <x:v>578649.2210529716</x:v>
      </x:c>
      <x:c r="AC139" s="23" t="n">
        <x:v>13518.227729112512</x:v>
      </x:c>
      <x:c r="AD139" s="19" t="n">
        <x:v>0</x:v>
      </x:c>
      <x:c r="AE139" s="19" t="n">
        <x:v>0</x:v>
      </x:c>
      <x:c r="AF139" s="19" t="n">
        <x:v>0</x:v>
      </x:c>
      <x:c r="AG139" s="19" t="n">
        <x:v>0</x:v>
      </x:c>
      <x:c r="AH139" s="19" t="n">
        <x:v>0</x:v>
      </x:c>
      <x:c r="AI139" s="19" t="n">
        <x:v>0</x:v>
      </x:c>
      <x:c r="AJ139" s="19" t="n">
        <x:v>0</x:v>
      </x:c>
      <x:c r="AK139" s="19" t="n">
        <x:v>0</x:v>
      </x:c>
      <x:c r="AL139" s="23" t="n">
        <x:v>164.4452468800384</x:v>
      </x:c>
      <x:c r="AM139" s="23" t="n">
        <x:v>16.434064031939858</x:v>
      </x:c>
      <x:c r="AN139" s="23" t="n">
        <x:v>55.139675836286635</x:v>
      </x:c>
      <x:c r="AO139" s="23" t="n">
        <x:v>4.594972986357221</x:v>
      </x:c>
      <x:c r="AP139" s="23" t="n">
        <x:v>53.13894747417735</x:v>
      </x:c>
      <x:c r="AQ139" s="19" t="n">
        <x:v>222</x:v>
      </x:c>
      <x:c r="AR139" s="19" t="n">
        <x:v>40</x:v>
      </x:c>
      <x:c r="AS139" s="19" t="n">
        <x:v>0</x:v>
      </x:c>
      <x:c r="AT139" s="19" t="n">
        <x:v>0</x:v>
      </x:c>
    </x:row>
    <x:row r="140" ht="25" customHeight="1">
      <x:c r="A140" s="18" t="str">
        <x:v>no_purchases</x:v>
      </x:c>
      <x:c r="B140" s="18" t="n">
        <x:v>13</x:v>
      </x:c>
      <x:c r="C140" s="18" t="n">
        <x:v>7</x:v>
      </x:c>
      <x:c r="D140" s="18" t="n">
        <x:v>17</x:v>
      </x:c>
      <x:c r="E140" s="18" t="n">
        <x:v>18</x:v>
      </x:c>
      <x:c r="F140" s="18" t="n">
        <x:v>65</x:v>
      </x:c>
      <x:c r="G140" s="18" t="n">
        <x:v>12607</x:v>
      </x:c>
      <x:c r="H140" s="18" t="n">
        <x:v>2218</x:v>
      </x:c>
      <x:c r="I140" s="20" t="n">
        <x:v>2198.4235604166606</x:v>
      </x:c>
      <x:c r="J140" s="20" t="n">
        <x:v>4.35</x:v>
      </x:c>
      <x:c r="K140" s="18" t="n">
        <x:v>0</x:v>
      </x:c>
      <x:c r="L140" s="18" t="n">
        <x:v>0</x:v>
      </x:c>
      <x:c r="M140" s="18" t="n">
        <x:v>56</x:v>
      </x:c>
      <x:c r="N140" s="18" t="n">
        <x:v>5</x:v>
      </x:c>
      <x:c r="O140" s="22" t="n">
        <x:v>311.1773299299918</x:v>
      </x:c>
      <x:c r="P140" s="22" t="n">
        <x:v>113.96856154671346</x:v>
      </x:c>
      <x:c r="Q140" s="22" t="n">
        <x:v>36.3040218251657</x:v>
      </x:c>
      <x:c r="R140" s="22" t="n">
        <x:v>37.21162237079485</x:v>
      </x:c>
      <x:c r="S140" s="24" t="n">
        <x:v>0.050000000000000044</x:v>
      </x:c>
      <x:c r="T140" s="20" t="n">
        <x:v>1.5</x:v>
      </x:c>
      <x:c r="U140" s="22" t="n">
        <x:v>45800.40897917084</x:v>
      </x:c>
      <x:c r="V140" s="22" t="n">
        <x:v>63557.37685461669</x:v>
      </x:c>
      <x:c r="W140" s="22" t="n">
        <x:v>575070.2161009767</x:v>
      </x:c>
      <x:c r="X140" s="22" t="n">
        <x:v>564477.903059969</x:v>
      </x:c>
      <x:c r="Y140" s="22" t="n">
        <x:v>13282.988947456473</x:v>
      </x:c>
      <x:c r="Z140" s="22" t="n">
        <x:v>0</x:v>
      </x:c>
      <x:c r="AA140" s="22" t="n">
        <x:v>0</x:v>
      </x:c>
      <x:c r="AB140" s="22" t="n">
        <x:v>564477.903059969</x:v>
      </x:c>
      <x:c r="AC140" s="22" t="n">
        <x:v>13282.988947456473</x:v>
      </x:c>
      <x:c r="AD140" s="18" t="n">
        <x:v>0</x:v>
      </x:c>
      <x:c r="AE140" s="18" t="n">
        <x:v>0</x:v>
      </x:c>
      <x:c r="AF140" s="18" t="n">
        <x:v>0</x:v>
      </x:c>
      <x:c r="AG140" s="18" t="n">
        <x:v>0</x:v>
      </x:c>
      <x:c r="AH140" s="18" t="n">
        <x:v>0</x:v>
      </x:c>
      <x:c r="AI140" s="18" t="n">
        <x:v>0</x:v>
      </x:c>
      <x:c r="AJ140" s="18" t="n">
        <x:v>0</x:v>
      </x:c>
      <x:c r="AK140" s="18" t="n">
        <x:v>0</x:v>
      </x:c>
      <x:c r="AL140" s="22" t="n">
        <x:v>164.4452468800384</x:v>
      </x:c>
      <x:c r="AM140" s="22" t="n">
        <x:v>16.434064031939858</x:v>
      </x:c>
      <x:c r="AN140" s="22" t="n">
        <x:v>55.139675836286635</x:v>
      </x:c>
      <x:c r="AO140" s="22" t="n">
        <x:v>4.594972986357221</x:v>
      </x:c>
      <x:c r="AP140" s="22" t="n">
        <x:v>53.13894747417735</x:v>
      </x:c>
      <x:c r="AQ140" s="18" t="n">
        <x:v>223</x:v>
      </x:c>
      <x:c r="AR140" s="18" t="n">
        <x:v>39</x:v>
      </x:c>
      <x:c r="AS140" s="18" t="n">
        <x:v>0</x:v>
      </x:c>
      <x:c r="AT140" s="18" t="n">
        <x:v>0</x:v>
      </x:c>
    </x:row>
    <x:row r="141" ht="25" customHeight="1">
      <x:c r="A141" s="19" t="str">
        <x:v>no_purchases</x:v>
      </x:c>
      <x:c r="B141" s="19" t="n">
        <x:v>14</x:v>
      </x:c>
      <x:c r="C141" s="19" t="n">
        <x:v>7</x:v>
      </x:c>
      <x:c r="D141" s="19" t="n">
        <x:v>17</x:v>
      </x:c>
      <x:c r="E141" s="19" t="n">
        <x:v>19</x:v>
      </x:c>
      <x:c r="F141" s="19" t="n">
        <x:v>65</x:v>
      </x:c>
      <x:c r="G141" s="19" t="n">
        <x:v>12576</x:v>
      </x:c>
      <x:c r="H141" s="19" t="n">
        <x:v>2194</x:v>
      </x:c>
      <x:c r="I141" s="21" t="n">
        <x:v>1691.531252716258</x:v>
      </x:c>
      <x:c r="J141" s="21" t="n">
        <x:v>4.35</x:v>
      </x:c>
      <x:c r="K141" s="19" t="n">
        <x:v>0</x:v>
      </x:c>
      <x:c r="L141" s="19" t="n">
        <x:v>0</x:v>
      </x:c>
      <x:c r="M141" s="19" t="n">
        <x:v>56</x:v>
      </x:c>
      <x:c r="N141" s="19" t="n">
        <x:v>2</x:v>
      </x:c>
      <x:c r="O141" s="23" t="n">
        <x:v>311.1773299299918</x:v>
      </x:c>
      <x:c r="P141" s="23" t="n">
        <x:v>212.57294573835262</x:v>
      </x:c>
      <x:c r="Q141" s="23" t="n">
        <x:v>36.3040218251657</x:v>
      </x:c>
      <x:c r="R141" s="23" t="n">
        <x:v>37.21162237079485</x:v>
      </x:c>
      <x:c r="S141" s="25" t="n">
        <x:v>0.050000000000000044</x:v>
      </x:c>
      <x:c r="T141" s="21" t="n">
        <x:v>1.5</x:v>
      </x:c>
      <x:c r="U141" s="23" t="n">
        <x:v>44508.171913913466</x:v>
      </x:c>
      <x:c r="V141" s="23" t="n">
        <x:v>63557.37685461669</x:v>
      </x:c>
      <x:c r="W141" s="23" t="n">
        <x:v>573777.9790357193</x:v>
      </x:c>
      <x:c r="X141" s="23" t="n">
        <x:v>562015.2968986668</x:v>
      </x:c>
      <x:c r="Y141" s="23" t="n">
        <x:v>13426.688871176028</x:v>
      </x:c>
      <x:c r="Z141" s="23" t="n">
        <x:v>0</x:v>
      </x:c>
      <x:c r="AA141" s="23" t="n">
        <x:v>0</x:v>
      </x:c>
      <x:c r="AB141" s="23" t="n">
        <x:v>562015.2968986668</x:v>
      </x:c>
      <x:c r="AC141" s="23" t="n">
        <x:v>13426.688871176028</x:v>
      </x:c>
      <x:c r="AD141" s="19" t="n">
        <x:v>0</x:v>
      </x:c>
      <x:c r="AE141" s="19" t="n">
        <x:v>0</x:v>
      </x:c>
      <x:c r="AF141" s="19" t="n">
        <x:v>0</x:v>
      </x:c>
      <x:c r="AG141" s="19" t="n">
        <x:v>0</x:v>
      </x:c>
      <x:c r="AH141" s="19" t="n">
        <x:v>0</x:v>
      </x:c>
      <x:c r="AI141" s="19" t="n">
        <x:v>0</x:v>
      </x:c>
      <x:c r="AJ141" s="19" t="n">
        <x:v>0</x:v>
      </x:c>
      <x:c r="AK141" s="19" t="n">
        <x:v>0</x:v>
      </x:c>
      <x:c r="AL141" s="23" t="n">
        <x:v>164.4452468800384</x:v>
      </x:c>
      <x:c r="AM141" s="23" t="n">
        <x:v>16.434064031939858</x:v>
      </x:c>
      <x:c r="AN141" s="23" t="n">
        <x:v>55.139675836286635</x:v>
      </x:c>
      <x:c r="AO141" s="23" t="n">
        <x:v>4.594972986357221</x:v>
      </x:c>
      <x:c r="AP141" s="23" t="n">
        <x:v>53.13894747417735</x:v>
      </x:c>
      <x:c r="AQ141" s="19" t="n">
        <x:v>222</x:v>
      </x:c>
      <x:c r="AR141" s="19" t="n">
        <x:v>40</x:v>
      </x:c>
      <x:c r="AS141" s="19" t="n">
        <x:v>0</x:v>
      </x:c>
      <x:c r="AT141" s="19" t="n">
        <x:v>0</x:v>
      </x:c>
    </x:row>
    <x:row r="142" ht="25" customHeight="1">
      <x:c r="A142" s="18" t="str">
        <x:v>no_purchases</x:v>
      </x:c>
      <x:c r="B142" s="18" t="n">
        <x:v>15</x:v>
      </x:c>
      <x:c r="C142" s="18" t="n">
        <x:v>7</x:v>
      </x:c>
      <x:c r="D142" s="18" t="n">
        <x:v>17</x:v>
      </x:c>
      <x:c r="E142" s="18" t="n">
        <x:v>18</x:v>
      </x:c>
      <x:c r="F142" s="18" t="n">
        <x:v>65</x:v>
      </x:c>
      <x:c r="G142" s="18" t="n">
        <x:v>12600</x:v>
      </x:c>
      <x:c r="H142" s="18" t="n">
        <x:v>2183</x:v>
      </x:c>
      <x:c r="I142" s="20" t="n">
        <x:v>885.6051501038289</x:v>
      </x:c>
      <x:c r="J142" s="20" t="n">
        <x:v>4.35</x:v>
      </x:c>
      <x:c r="K142" s="18" t="n">
        <x:v>0</x:v>
      </x:c>
      <x:c r="L142" s="18" t="n">
        <x:v>0</x:v>
      </x:c>
      <x:c r="M142" s="18" t="n">
        <x:v>56</x:v>
      </x:c>
      <x:c r="N142" s="18" t="n">
        <x:v>4</x:v>
      </x:c>
      <x:c r="O142" s="22" t="n">
        <x:v>311.1773299299918</x:v>
      </x:c>
      <x:c r="P142" s="22" t="n">
        <x:v>146.8366896105932</x:v>
      </x:c>
      <x:c r="Q142" s="22" t="n">
        <x:v>36.3040218251657</x:v>
      </x:c>
      <x:c r="R142" s="22" t="n">
        <x:v>37.21162237079485</x:v>
      </x:c>
      <x:c r="S142" s="24" t="n">
        <x:v>0.050000000000000044</x:v>
      </x:c>
      <x:c r="T142" s="20" t="n">
        <x:v>1.5</x:v>
      </x:c>
      <x:c r="U142" s="22" t="n">
        <x:v>42004.522582899466</x:v>
      </x:c>
      <x:c r="V142" s="22" t="n">
        <x:v>63557.37685461669</x:v>
      </x:c>
      <x:c r="W142" s="22" t="n">
        <x:v>571274.3297047056</x:v>
      </x:c>
      <x:c r="X142" s="22" t="n">
        <x:v>557649.5001761311</x:v>
      </x:c>
      <x:c r="Y142" s="22" t="n">
        <x:v>13595.373729702767</x:v>
      </x:c>
      <x:c r="Z142" s="22" t="n">
        <x:v>0</x:v>
      </x:c>
      <x:c r="AA142" s="22" t="n">
        <x:v>0</x:v>
      </x:c>
      <x:c r="AB142" s="22" t="n">
        <x:v>557649.5001761311</x:v>
      </x:c>
      <x:c r="AC142" s="22" t="n">
        <x:v>13595.373729702767</x:v>
      </x:c>
      <x:c r="AD142" s="18" t="n">
        <x:v>0</x:v>
      </x:c>
      <x:c r="AE142" s="18" t="n">
        <x:v>0</x:v>
      </x:c>
      <x:c r="AF142" s="18" t="n">
        <x:v>0</x:v>
      </x:c>
      <x:c r="AG142" s="18" t="n">
        <x:v>0</x:v>
      </x:c>
      <x:c r="AH142" s="18" t="n">
        <x:v>0</x:v>
      </x:c>
      <x:c r="AI142" s="18" t="n">
        <x:v>0</x:v>
      </x:c>
      <x:c r="AJ142" s="18" t="n">
        <x:v>0</x:v>
      </x:c>
      <x:c r="AK142" s="18" t="n">
        <x:v>0</x:v>
      </x:c>
      <x:c r="AL142" s="22" t="n">
        <x:v>164.4452468800384</x:v>
      </x:c>
      <x:c r="AM142" s="22" t="n">
        <x:v>16.434064031939858</x:v>
      </x:c>
      <x:c r="AN142" s="22" t="n">
        <x:v>55.139675836286635</x:v>
      </x:c>
      <x:c r="AO142" s="22" t="n">
        <x:v>4.594972986357221</x:v>
      </x:c>
      <x:c r="AP142" s="22" t="n">
        <x:v>53.13894747417735</x:v>
      </x:c>
      <x:c r="AQ142" s="18" t="n">
        <x:v>222</x:v>
      </x:c>
      <x:c r="AR142" s="18" t="n">
        <x:v>39</x:v>
      </x:c>
      <x:c r="AS142" s="18" t="n">
        <x:v>0</x:v>
      </x:c>
      <x:c r="AT142" s="18" t="n">
        <x:v>0</x:v>
      </x:c>
    </x:row>
    <x:row r="143" ht="25" customHeight="1">
      <x:c r="A143" s="19" t="str">
        <x:v>no_purchases</x:v>
      </x:c>
      <x:c r="B143" s="19" t="n">
        <x:v>16</x:v>
      </x:c>
      <x:c r="C143" s="19" t="n">
        <x:v>7</x:v>
      </x:c>
      <x:c r="D143" s="19" t="n">
        <x:v>17</x:v>
      </x:c>
      <x:c r="E143" s="19" t="n">
        <x:v>18</x:v>
      </x:c>
      <x:c r="F143" s="19" t="n">
        <x:v>65</x:v>
      </x:c>
      <x:c r="G143" s="19" t="n">
        <x:v>12569</x:v>
      </x:c>
      <x:c r="H143" s="19" t="n">
        <x:v>2219</x:v>
      </x:c>
      <x:c r="I143" s="21" t="n">
        <x:v>1077.9912301181876</x:v>
      </x:c>
      <x:c r="J143" s="21" t="n">
        <x:v>4.35</x:v>
      </x:c>
      <x:c r="K143" s="19" t="n">
        <x:v>0</x:v>
      </x:c>
      <x:c r="L143" s="19" t="n">
        <x:v>0</x:v>
      </x:c>
      <x:c r="M143" s="19" t="n">
        <x:v>56</x:v>
      </x:c>
      <x:c r="N143" s="19" t="n">
        <x:v>5</x:v>
      </x:c>
      <x:c r="O143" s="23" t="n">
        <x:v>311.1773299299918</x:v>
      </x:c>
      <x:c r="P143" s="23" t="n">
        <x:v>77.81362067644578</x:v>
      </x:c>
      <x:c r="Q143" s="23" t="n">
        <x:v>36.3040218251657</x:v>
      </x:c>
      <x:c r="R143" s="23" t="n">
        <x:v>37.21162237079485</x:v>
      </x:c>
      <x:c r="S143" s="25" t="n">
        <x:v>0.050000000000000044</x:v>
      </x:c>
      <x:c r="T143" s="21" t="n">
        <x:v>1.5</x:v>
      </x:c>
      <x:c r="U143" s="23" t="n">
        <x:v>53829.58605193551</x:v>
      </x:c>
      <x:c r="V143" s="23" t="n">
        <x:v>63557.37685461669</x:v>
      </x:c>
      <x:c r="W143" s="23" t="n">
        <x:v>583099.3931737414</x:v>
      </x:c>
      <x:c r="X143" s="23" t="n">
        <x:v>575201.1831892014</x:v>
      </x:c>
      <x:c r="Y143" s="23" t="n">
        <x:v>13520.413735245165</x:v>
      </x:c>
      <x:c r="Z143" s="23" t="n">
        <x:v>0</x:v>
      </x:c>
      <x:c r="AA143" s="23" t="n">
        <x:v>0</x:v>
      </x:c>
      <x:c r="AB143" s="23" t="n">
        <x:v>575201.1831892014</x:v>
      </x:c>
      <x:c r="AC143" s="23" t="n">
        <x:v>13520.413735245165</x:v>
      </x:c>
      <x:c r="AD143" s="19" t="n">
        <x:v>0</x:v>
      </x:c>
      <x:c r="AE143" s="19" t="n">
        <x:v>0</x:v>
      </x:c>
      <x:c r="AF143" s="19" t="n">
        <x:v>0</x:v>
      </x:c>
      <x:c r="AG143" s="19" t="n">
        <x:v>0</x:v>
      </x:c>
      <x:c r="AH143" s="19" t="n">
        <x:v>0</x:v>
      </x:c>
      <x:c r="AI143" s="19" t="n">
        <x:v>0</x:v>
      </x:c>
      <x:c r="AJ143" s="19" t="n">
        <x:v>0</x:v>
      </x:c>
      <x:c r="AK143" s="19" t="n">
        <x:v>0</x:v>
      </x:c>
      <x:c r="AL143" s="23" t="n">
        <x:v>164.4452468800384</x:v>
      </x:c>
      <x:c r="AM143" s="23" t="n">
        <x:v>16.434064031939858</x:v>
      </x:c>
      <x:c r="AN143" s="23" t="n">
        <x:v>55.139675836286635</x:v>
      </x:c>
      <x:c r="AO143" s="23" t="n">
        <x:v>4.594972986357221</x:v>
      </x:c>
      <x:c r="AP143" s="23" t="n">
        <x:v>53.13894747417735</x:v>
      </x:c>
      <x:c r="AQ143" s="19" t="n">
        <x:v>224</x:v>
      </x:c>
      <x:c r="AR143" s="19" t="n">
        <x:v>39</x:v>
      </x:c>
      <x:c r="AS143" s="19" t="n">
        <x:v>-1</x:v>
      </x:c>
      <x:c r="AT143" s="19" t="n">
        <x:v>0</x:v>
      </x:c>
    </x:row>
    <x:row r="144" ht="25" customHeight="1">
      <x:c r="A144" s="18" t="str">
        <x:v>no_purchases</x:v>
      </x:c>
      <x:c r="B144" s="18" t="n">
        <x:v>17</x:v>
      </x:c>
      <x:c r="C144" s="18" t="n">
        <x:v>7</x:v>
      </x:c>
      <x:c r="D144" s="18" t="n">
        <x:v>17</x:v>
      </x:c>
      <x:c r="E144" s="18" t="n">
        <x:v>18</x:v>
      </x:c>
      <x:c r="F144" s="18" t="n">
        <x:v>65</x:v>
      </x:c>
      <x:c r="G144" s="18" t="n">
        <x:v>12480</x:v>
      </x:c>
      <x:c r="H144" s="18" t="n">
        <x:v>2252</x:v>
      </x:c>
      <x:c r="I144" s="20" t="n">
        <x:v>732.0743093056335</x:v>
      </x:c>
      <x:c r="J144" s="20" t="n">
        <x:v>4.35</x:v>
      </x:c>
      <x:c r="K144" s="18" t="n">
        <x:v>0</x:v>
      </x:c>
      <x:c r="L144" s="18" t="n">
        <x:v>0</x:v>
      </x:c>
      <x:c r="M144" s="18" t="n">
        <x:v>56</x:v>
      </x:c>
      <x:c r="N144" s="18" t="n">
        <x:v>2</x:v>
      </x:c>
      <x:c r="O144" s="22" t="n">
        <x:v>311.1773299299918</x:v>
      </x:c>
      <x:c r="P144" s="22" t="n">
        <x:v>261.8751378341721</x:v>
      </x:c>
      <x:c r="Q144" s="22" t="n">
        <x:v>36.3040218251657</x:v>
      </x:c>
      <x:c r="R144" s="22" t="n">
        <x:v>37.21162237079485</x:v>
      </x:c>
      <x:c r="S144" s="24" t="n">
        <x:v>0.050000000000000044</x:v>
      </x:c>
      <x:c r="T144" s="20" t="n">
        <x:v>1.5</x:v>
      </x:c>
      <x:c r="U144" s="22" t="n">
        <x:v>51222.79174041998</x:v>
      </x:c>
      <x:c r="V144" s="22" t="n">
        <x:v>63557.37685461669</x:v>
      </x:c>
      <x:c r="W144" s="22" t="n">
        <x:v>580492.5988622259</x:v>
      </x:c>
      <x:c r="X144" s="22" t="n">
        <x:v>573404.2476706175</x:v>
      </x:c>
      <x:c r="Y144" s="22" t="n">
        <x:v>12866.050562763083</x:v>
      </x:c>
      <x:c r="Z144" s="22" t="n">
        <x:v>0</x:v>
      </x:c>
      <x:c r="AA144" s="22" t="n">
        <x:v>0</x:v>
      </x:c>
      <x:c r="AB144" s="22" t="n">
        <x:v>573404.2476706175</x:v>
      </x:c>
      <x:c r="AC144" s="22" t="n">
        <x:v>12866.050562763083</x:v>
      </x:c>
      <x:c r="AD144" s="18" t="n">
        <x:v>0</x:v>
      </x:c>
      <x:c r="AE144" s="18" t="n">
        <x:v>0</x:v>
      </x:c>
      <x:c r="AF144" s="18" t="n">
        <x:v>0</x:v>
      </x:c>
      <x:c r="AG144" s="18" t="n">
        <x:v>0</x:v>
      </x:c>
      <x:c r="AH144" s="18" t="n">
        <x:v>0</x:v>
      </x:c>
      <x:c r="AI144" s="18" t="n">
        <x:v>0</x:v>
      </x:c>
      <x:c r="AJ144" s="18" t="n">
        <x:v>0</x:v>
      </x:c>
      <x:c r="AK144" s="18" t="n">
        <x:v>0</x:v>
      </x:c>
      <x:c r="AL144" s="22" t="n">
        <x:v>164.4452468800384</x:v>
      </x:c>
      <x:c r="AM144" s="22" t="n">
        <x:v>16.434064031939858</x:v>
      </x:c>
      <x:c r="AN144" s="22" t="n">
        <x:v>55.139675836286635</x:v>
      </x:c>
      <x:c r="AO144" s="22" t="n">
        <x:v>4.594972986357221</x:v>
      </x:c>
      <x:c r="AP144" s="22" t="n">
        <x:v>53.13894747417735</x:v>
      </x:c>
      <x:c r="AQ144" s="18" t="n">
        <x:v>223</x:v>
      </x:c>
      <x:c r="AR144" s="18" t="n">
        <x:v>40</x:v>
      </x:c>
      <x:c r="AS144" s="18" t="n">
        <x:v>0</x:v>
      </x:c>
      <x:c r="AT144" s="18" t="n">
        <x:v>0</x:v>
      </x:c>
    </x:row>
    <x:row r="145" ht="25" customHeight="1">
      <x:c r="A145" s="19" t="str">
        <x:v>no_purchases</x:v>
      </x:c>
      <x:c r="B145" s="19" t="n">
        <x:v>18</x:v>
      </x:c>
      <x:c r="C145" s="19" t="n">
        <x:v>7</x:v>
      </x:c>
      <x:c r="D145" s="19" t="n">
        <x:v>17</x:v>
      </x:c>
      <x:c r="E145" s="19" t="n">
        <x:v>18</x:v>
      </x:c>
      <x:c r="F145" s="19" t="n">
        <x:v>65</x:v>
      </x:c>
      <x:c r="G145" s="19" t="n">
        <x:v>12352</x:v>
      </x:c>
      <x:c r="H145" s="19" t="n">
        <x:v>2301</x:v>
      </x:c>
      <x:c r="I145" s="21" t="n">
        <x:v>1435.4996460974107</x:v>
      </x:c>
      <x:c r="J145" s="21" t="n">
        <x:v>4.35</x:v>
      </x:c>
      <x:c r="K145" s="19" t="n">
        <x:v>0</x:v>
      </x:c>
      <x:c r="L145" s="19" t="n">
        <x:v>0</x:v>
      </x:c>
      <x:c r="M145" s="19" t="n">
        <x:v>56</x:v>
      </x:c>
      <x:c r="N145" s="19" t="n">
        <x:v>4</x:v>
      </x:c>
      <x:c r="O145" s="23" t="n">
        <x:v>311.1773299299918</x:v>
      </x:c>
      <x:c r="P145" s="23" t="n">
        <x:v>155.053721626563</x:v>
      </x:c>
      <x:c r="Q145" s="23" t="n">
        <x:v>36.3040218251657</x:v>
      </x:c>
      <x:c r="R145" s="23" t="n">
        <x:v>37.21162237079485</x:v>
      </x:c>
      <x:c r="S145" s="25" t="n">
        <x:v>0.050000000000000044</x:v>
      </x:c>
      <x:c r="T145" s="21" t="n">
        <x:v>1.5</x:v>
      </x:c>
      <x:c r="U145" s="23" t="n">
        <x:v>56041.66656439615</x:v>
      </x:c>
      <x:c r="V145" s="23" t="n">
        <x:v>63557.37685461669</x:v>
      </x:c>
      <x:c r="W145" s="23" t="n">
        <x:v>585311.4736862028</x:v>
      </x:c>
      <x:c r="X145" s="23" t="n">
        <x:v>582740.9895407798</x:v>
      </x:c>
      <x:c r="Y145" s="23" t="n">
        <x:v>13444.413000836048</x:v>
      </x:c>
      <x:c r="Z145" s="23" t="n">
        <x:v>0</x:v>
      </x:c>
      <x:c r="AA145" s="23" t="n">
        <x:v>0</x:v>
      </x:c>
      <x:c r="AB145" s="23" t="n">
        <x:v>582740.9895407798</x:v>
      </x:c>
      <x:c r="AC145" s="23" t="n">
        <x:v>13444.413000836048</x:v>
      </x:c>
      <x:c r="AD145" s="19" t="n">
        <x:v>0</x:v>
      </x:c>
      <x:c r="AE145" s="19" t="n">
        <x:v>0</x:v>
      </x:c>
      <x:c r="AF145" s="19" t="n">
        <x:v>0</x:v>
      </x:c>
      <x:c r="AG145" s="19" t="n">
        <x:v>0</x:v>
      </x:c>
      <x:c r="AH145" s="19" t="n">
        <x:v>0</x:v>
      </x:c>
      <x:c r="AI145" s="19" t="n">
        <x:v>0</x:v>
      </x:c>
      <x:c r="AJ145" s="19" t="n">
        <x:v>0</x:v>
      </x:c>
      <x:c r="AK145" s="19" t="n">
        <x:v>0</x:v>
      </x:c>
      <x:c r="AL145" s="23" t="n">
        <x:v>164.4452468800384</x:v>
      </x:c>
      <x:c r="AM145" s="23" t="n">
        <x:v>16.434064031939858</x:v>
      </x:c>
      <x:c r="AN145" s="23" t="n">
        <x:v>55.139675836286635</x:v>
      </x:c>
      <x:c r="AO145" s="23" t="n">
        <x:v>4.594972986357221</x:v>
      </x:c>
      <x:c r="AP145" s="23" t="n">
        <x:v>53.13894747417735</x:v>
      </x:c>
      <x:c r="AQ145" s="19" t="n">
        <x:v>223</x:v>
      </x:c>
      <x:c r="AR145" s="19" t="n">
        <x:v>40</x:v>
      </x:c>
      <x:c r="AS145" s="19" t="n">
        <x:v>0</x:v>
      </x:c>
      <x:c r="AT145" s="19" t="n">
        <x:v>0</x:v>
      </x:c>
    </x:row>
    <x:row r="146" ht="25" customHeight="1">
      <x:c r="A146" s="18" t="str">
        <x:v>no_purchases</x:v>
      </x:c>
      <x:c r="B146" s="18" t="n">
        <x:v>19</x:v>
      </x:c>
      <x:c r="C146" s="18" t="n">
        <x:v>7</x:v>
      </x:c>
      <x:c r="D146" s="18" t="n">
        <x:v>17</x:v>
      </x:c>
      <x:c r="E146" s="18" t="n">
        <x:v>18</x:v>
      </x:c>
      <x:c r="F146" s="18" t="n">
        <x:v>65</x:v>
      </x:c>
      <x:c r="G146" s="18" t="n">
        <x:v>12378</x:v>
      </x:c>
      <x:c r="H146" s="18" t="n">
        <x:v>2291</x:v>
      </x:c>
      <x:c r="I146" s="20" t="n">
        <x:v>761.675430605675</x:v>
      </x:c>
      <x:c r="J146" s="20" t="n">
        <x:v>4.35</x:v>
      </x:c>
      <x:c r="K146" s="18" t="n">
        <x:v>0</x:v>
      </x:c>
      <x:c r="L146" s="18" t="n">
        <x:v>0</x:v>
      </x:c>
      <x:c r="M146" s="18" t="n">
        <x:v>56</x:v>
      </x:c>
      <x:c r="N146" s="18" t="n">
        <x:v>5</x:v>
      </x:c>
      <x:c r="O146" s="22" t="n">
        <x:v>311.1773299299918</x:v>
      </x:c>
      <x:c r="P146" s="22" t="n">
        <x:v>95.89109111157961</x:v>
      </x:c>
      <x:c r="Q146" s="22" t="n">
        <x:v>36.3040218251657</x:v>
      </x:c>
      <x:c r="R146" s="22" t="n">
        <x:v>37.21162237079485</x:v>
      </x:c>
      <x:c r="S146" s="24" t="n">
        <x:v>0.050000000000000044</x:v>
      </x:c>
      <x:c r="T146" s="20" t="n">
        <x:v>1.5</x:v>
      </x:c>
      <x:c r="U146" s="22" t="n">
        <x:v>55349.48488607996</x:v>
      </x:c>
      <x:c r="V146" s="22" t="n">
        <x:v>63557.37685461669</x:v>
      </x:c>
      <x:c r="W146" s="22" t="n">
        <x:v>584619.2920078868</x:v>
      </x:c>
      <x:c r="X146" s="22" t="n">
        <x:v>581790.3315285766</x:v>
      </x:c>
      <x:c r="Y146" s="22" t="n">
        <x:v>13434.172437013734</x:v>
      </x:c>
      <x:c r="Z146" s="22" t="n">
        <x:v>0</x:v>
      </x:c>
      <x:c r="AA146" s="22" t="n">
        <x:v>0</x:v>
      </x:c>
      <x:c r="AB146" s="22" t="n">
        <x:v>581790.3315285766</x:v>
      </x:c>
      <x:c r="AC146" s="22" t="n">
        <x:v>13434.172437013734</x:v>
      </x:c>
      <x:c r="AD146" s="18" t="n">
        <x:v>0</x:v>
      </x:c>
      <x:c r="AE146" s="18" t="n">
        <x:v>0</x:v>
      </x:c>
      <x:c r="AF146" s="18" t="n">
        <x:v>0</x:v>
      </x:c>
      <x:c r="AG146" s="18" t="n">
        <x:v>0</x:v>
      </x:c>
      <x:c r="AH146" s="18" t="n">
        <x:v>0</x:v>
      </x:c>
      <x:c r="AI146" s="18" t="n">
        <x:v>0</x:v>
      </x:c>
      <x:c r="AJ146" s="18" t="n">
        <x:v>0</x:v>
      </x:c>
      <x:c r="AK146" s="18" t="n">
        <x:v>0</x:v>
      </x:c>
      <x:c r="AL146" s="22" t="n">
        <x:v>164.4452468800384</x:v>
      </x:c>
      <x:c r="AM146" s="22" t="n">
        <x:v>16.434064031939858</x:v>
      </x:c>
      <x:c r="AN146" s="22" t="n">
        <x:v>55.139675836286635</x:v>
      </x:c>
      <x:c r="AO146" s="22" t="n">
        <x:v>4.594972986357221</x:v>
      </x:c>
      <x:c r="AP146" s="22" t="n">
        <x:v>53.13894747417735</x:v>
      </x:c>
      <x:c r="AQ146" s="18" t="n">
        <x:v>223</x:v>
      </x:c>
      <x:c r="AR146" s="18" t="n">
        <x:v>39</x:v>
      </x:c>
      <x:c r="AS146" s="18" t="n">
        <x:v>0</x:v>
      </x:c>
      <x:c r="AT146" s="18" t="n">
        <x:v>0</x:v>
      </x:c>
    </x:row>
    <x:row r="147" ht="25" customHeight="1">
      <x:c r="A147" s="19" t="str">
        <x:v>no_purchases</x:v>
      </x:c>
      <x:c r="B147" s="19" t="n">
        <x:v>20</x:v>
      </x:c>
      <x:c r="C147" s="19" t="n">
        <x:v>7</x:v>
      </x:c>
      <x:c r="D147" s="19" t="n">
        <x:v>17</x:v>
      </x:c>
      <x:c r="E147" s="19" t="n">
        <x:v>19</x:v>
      </x:c>
      <x:c r="F147" s="19" t="n">
        <x:v>65</x:v>
      </x:c>
      <x:c r="G147" s="19" t="n">
        <x:v>12398</x:v>
      </x:c>
      <x:c r="H147" s="19" t="n">
        <x:v>2296</x:v>
      </x:c>
      <x:c r="I147" s="21" t="n">
        <x:v>1764.4288377591306</x:v>
      </x:c>
      <x:c r="J147" s="21" t="n">
        <x:v>4.35</x:v>
      </x:c>
      <x:c r="K147" s="19" t="n">
        <x:v>0</x:v>
      </x:c>
      <x:c r="L147" s="19" t="n">
        <x:v>0</x:v>
      </x:c>
      <x:c r="M147" s="19" t="n">
        <x:v>56</x:v>
      </x:c>
      <x:c r="N147" s="19" t="n">
        <x:v>1</x:v>
      </x:c>
      <x:c r="O147" s="23" t="n">
        <x:v>311.1773299299918</x:v>
      </x:c>
      <x:c r="P147" s="23" t="n">
        <x:v>311.1773299299918</x:v>
      </x:c>
      <x:c r="Q147" s="23" t="n">
        <x:v>36.3040218251657</x:v>
      </x:c>
      <x:c r="R147" s="23" t="n">
        <x:v>37.21162237079485</x:v>
      </x:c>
      <x:c r="S147" s="25" t="n">
        <x:v>0.050000000000000044</x:v>
      </x:c>
      <x:c r="T147" s="21" t="n">
        <x:v>1.5</x:v>
      </x:c>
      <x:c r="U147" s="23" t="n">
        <x:v>58481.970378389</x:v>
      </x:c>
      <x:c r="V147" s="23" t="n">
        <x:v>63557.37685461669</x:v>
      </x:c>
      <x:c r="W147" s="23" t="n">
        <x:v>587751.7775001951</x:v>
      </x:c>
      <x:c r="X147" s="23" t="n">
        <x:v>585105.6351081304</x:v>
      </x:c>
      <x:c r="Y147" s="23" t="n">
        <x:v>13500.706186732737</x:v>
      </x:c>
      <x:c r="Z147" s="23" t="n">
        <x:v>0</x:v>
      </x:c>
      <x:c r="AA147" s="23" t="n">
        <x:v>0</x:v>
      </x:c>
      <x:c r="AB147" s="23" t="n">
        <x:v>585105.6351081304</x:v>
      </x:c>
      <x:c r="AC147" s="23" t="n">
        <x:v>13500.706186732737</x:v>
      </x:c>
      <x:c r="AD147" s="19" t="n">
        <x:v>0</x:v>
      </x:c>
      <x:c r="AE147" s="19" t="n">
        <x:v>0</x:v>
      </x:c>
      <x:c r="AF147" s="19" t="n">
        <x:v>0</x:v>
      </x:c>
      <x:c r="AG147" s="19" t="n">
        <x:v>0</x:v>
      </x:c>
      <x:c r="AH147" s="19" t="n">
        <x:v>0</x:v>
      </x:c>
      <x:c r="AI147" s="19" t="n">
        <x:v>0</x:v>
      </x:c>
      <x:c r="AJ147" s="19" t="n">
        <x:v>0</x:v>
      </x:c>
      <x:c r="AK147" s="19" t="n">
        <x:v>0</x:v>
      </x:c>
      <x:c r="AL147" s="23" t="n">
        <x:v>164.4452468800384</x:v>
      </x:c>
      <x:c r="AM147" s="23" t="n">
        <x:v>16.434064031939858</x:v>
      </x:c>
      <x:c r="AN147" s="23" t="n">
        <x:v>55.139675836286635</x:v>
      </x:c>
      <x:c r="AO147" s="23" t="n">
        <x:v>4.594972986357221</x:v>
      </x:c>
      <x:c r="AP147" s="23" t="n">
        <x:v>53.13894747417735</x:v>
      </x:c>
      <x:c r="AQ147" s="19" t="n">
        <x:v>223</x:v>
      </x:c>
      <x:c r="AR147" s="19" t="n">
        <x:v>40</x:v>
      </x:c>
      <x:c r="AS147" s="19" t="n">
        <x:v>0</x:v>
      </x:c>
      <x:c r="AT147" s="19" t="n">
        <x:v>0</x:v>
      </x:c>
    </x:row>
    <x:row r="148" ht="25" customHeight="1">
      <x:c r="A148" s="18" t="str">
        <x:v>no_purchases</x:v>
      </x:c>
      <x:c r="B148" s="18" t="n">
        <x:v>1</x:v>
      </x:c>
      <x:c r="C148" s="18" t="n">
        <x:v>30</x:v>
      </x:c>
      <x:c r="D148" s="18" t="n">
        <x:v>20</x:v>
      </x:c>
      <x:c r="E148" s="18" t="n">
        <x:v>21</x:v>
      </x:c>
      <x:c r="F148" s="18" t="n">
        <x:v>80</x:v>
      </x:c>
      <x:c r="G148" s="18" t="n">
        <x:v>52856</x:v>
      </x:c>
      <x:c r="H148" s="18" t="n">
        <x:v>9752</x:v>
      </x:c>
      <x:c r="I148" s="20" t="n">
        <x:v>2632.2266914550273</x:v>
      </x:c>
      <x:c r="J148" s="20" t="n">
        <x:v>4.35</x:v>
      </x:c>
      <x:c r="K148" s="18" t="n">
        <x:v>0</x:v>
      </x:c>
      <x:c r="L148" s="18" t="n">
        <x:v>0</x:v>
      </x:c>
      <x:c r="M148" s="18" t="n">
        <x:v>240</x:v>
      </x:c>
      <x:c r="N148" s="18" t="n">
        <x:v>1</x:v>
      </x:c>
      <x:c r="O148" s="22" t="n">
        <x:v>389.04387629436144</x:v>
      </x:c>
      <x:c r="P148" s="22" t="n">
        <x:v>389.04387629436144</x:v>
      </x:c>
      <x:c r="Q148" s="22" t="n">
        <x:v>45.388452234342154</x:v>
      </x:c>
      <x:c r="R148" s="22" t="n">
        <x:v>46.52316354020072</x:v>
      </x:c>
      <x:c r="S148" s="24" t="n">
        <x:v>0.050000000000000044</x:v>
      </x:c>
      <x:c r="T148" s="20" t="n">
        <x:v>1.5</x:v>
      </x:c>
      <x:c r="U148" s="22" t="n">
        <x:v>139513.81053605638</x:v>
      </x:c>
      <x:c r="V148" s="22" t="n">
        <x:v>347885.4816996268</x:v>
      </x:c>
      <x:c r="W148" s="22" t="n">
        <x:v>3038184.491366278</x:v>
      </x:c>
      <x:c r="X148" s="22" t="n">
        <x:v>3275161.1272354717</x:v>
      </x:c>
      <x:c r="Y148" s="22" t="n">
        <x:v>77095.3045792962</x:v>
      </x:c>
      <x:c r="Z148" s="22" t="n">
        <x:v>0</x:v>
      </x:c>
      <x:c r="AA148" s="22" t="n">
        <x:v>0</x:v>
      </x:c>
      <x:c r="AB148" s="22" t="n">
        <x:v>3275161.1272354717</x:v>
      </x:c>
      <x:c r="AC148" s="22" t="n">
        <x:v>77095.3045792962</x:v>
      </x:c>
      <x:c r="AD148" s="18" t="n">
        <x:v>0</x:v>
      </x:c>
      <x:c r="AE148" s="18" t="n">
        <x:v>0</x:v>
      </x:c>
      <x:c r="AF148" s="18" t="n">
        <x:v>0</x:v>
      </x:c>
      <x:c r="AG148" s="18" t="n">
        <x:v>0</x:v>
      </x:c>
      <x:c r="AH148" s="18" t="n">
        <x:v>0</x:v>
      </x:c>
      <x:c r="AI148" s="18" t="n">
        <x:v>0</x:v>
      </x:c>
      <x:c r="AJ148" s="18" t="n">
        <x:v>0</x:v>
      </x:c>
      <x:c r="AK148" s="18" t="n">
        <x:v>0</x:v>
      </x:c>
      <x:c r="AL148" s="22" t="n">
        <x:v>207.15365083774697</x:v>
      </x:c>
      <x:c r="AM148" s="22" t="n">
        <x:v>19.851521484607737</x:v>
      </x:c>
      <x:c r="AN148" s="22" t="n">
        <x:v>73.39090853809752</x:v>
      </x:c>
      <x:c r="AO148" s="22" t="n">
        <x:v>6.115909044841462</x:v>
      </x:c>
      <x:c r="AP148" s="22" t="n">
        <x:v>65.09749563060865</x:v>
      </x:c>
      <x:c r="AQ148" s="18" t="n">
        <x:v>221</x:v>
      </x:c>
      <x:c r="AR148" s="18" t="n">
        <x:v>40</x:v>
      </x:c>
      <x:c r="AS148" s="18" t="n">
        <x:v>-1</x:v>
      </x:c>
      <x:c r="AT148" s="18" t="n">
        <x:v>0</x:v>
      </x:c>
    </x:row>
    <x:row r="149" ht="25" customHeight="1">
      <x:c r="A149" s="19" t="str">
        <x:v>no_purchases</x:v>
      </x:c>
      <x:c r="B149" s="19" t="n">
        <x:v>2</x:v>
      </x:c>
      <x:c r="C149" s="19" t="n">
        <x:v>30</x:v>
      </x:c>
      <x:c r="D149" s="19" t="n">
        <x:v>20</x:v>
      </x:c>
      <x:c r="E149" s="19" t="n">
        <x:v>21</x:v>
      </x:c>
      <x:c r="F149" s="19" t="n">
        <x:v>80</x:v>
      </x:c>
      <x:c r="G149" s="19" t="n">
        <x:v>53197</x:v>
      </x:c>
      <x:c r="H149" s="19" t="n">
        <x:v>9604</x:v>
      </x:c>
      <x:c r="I149" s="21" t="n">
        <x:v>2336.456782969182</x:v>
      </x:c>
      <x:c r="J149" s="21" t="n">
        <x:v>4.35</x:v>
      </x:c>
      <x:c r="K149" s="19" t="n">
        <x:v>0</x:v>
      </x:c>
      <x:c r="L149" s="19" t="n">
        <x:v>0</x:v>
      </x:c>
      <x:c r="M149" s="19" t="n">
        <x:v>240</x:v>
      </x:c>
      <x:c r="N149" s="19" t="n">
        <x:v>5</x:v>
      </x:c>
      <x:c r="O149" s="23" t="n">
        <x:v>389.04387629436144</x:v>
      </x:c>
      <x:c r="P149" s="23" t="n">
        <x:v>150.82561847906874</x:v>
      </x:c>
      <x:c r="Q149" s="23" t="n">
        <x:v>45.388452234342154</x:v>
      </x:c>
      <x:c r="R149" s="23" t="n">
        <x:v>46.52316354020072</x:v>
      </x:c>
      <x:c r="S149" s="25" t="n">
        <x:v>0.050000000000000044</x:v>
      </x:c>
      <x:c r="T149" s="21" t="n">
        <x:v>1.5</x:v>
      </x:c>
      <x:c r="U149" s="23" t="n">
        <x:v>138573.14329689398</x:v>
      </x:c>
      <x:c r="V149" s="23" t="n">
        <x:v>347885.4816996268</x:v>
      </x:c>
      <x:c r="W149" s="23" t="n">
        <x:v>3037243.824127112</x:v>
      </x:c>
      <x:c r="X149" s="23" t="n">
        <x:v>3263335.0794572276</x:v>
      </x:c>
      <x:c r="Y149" s="23" t="n">
        <x:v>76303.72516947595</x:v>
      </x:c>
      <x:c r="Z149" s="23" t="n">
        <x:v>0</x:v>
      </x:c>
      <x:c r="AA149" s="23" t="n">
        <x:v>0</x:v>
      </x:c>
      <x:c r="AB149" s="23" t="n">
        <x:v>3263335.0794572276</x:v>
      </x:c>
      <x:c r="AC149" s="23" t="n">
        <x:v>76303.72516947595</x:v>
      </x:c>
      <x:c r="AD149" s="19" t="n">
        <x:v>0</x:v>
      </x:c>
      <x:c r="AE149" s="19" t="n">
        <x:v>0</x:v>
      </x:c>
      <x:c r="AF149" s="19" t="n">
        <x:v>0</x:v>
      </x:c>
      <x:c r="AG149" s="19" t="n">
        <x:v>0</x:v>
      </x:c>
      <x:c r="AH149" s="19" t="n">
        <x:v>0</x:v>
      </x:c>
      <x:c r="AI149" s="19" t="n">
        <x:v>0</x:v>
      </x:c>
      <x:c r="AJ149" s="19" t="n">
        <x:v>0</x:v>
      </x:c>
      <x:c r="AK149" s="19" t="n">
        <x:v>0</x:v>
      </x:c>
      <x:c r="AL149" s="23" t="n">
        <x:v>207.15365083774697</x:v>
      </x:c>
      <x:c r="AM149" s="23" t="n">
        <x:v>19.851521484607737</x:v>
      </x:c>
      <x:c r="AN149" s="23" t="n">
        <x:v>73.39090853809752</x:v>
      </x:c>
      <x:c r="AO149" s="23" t="n">
        <x:v>6.115909044841462</x:v>
      </x:c>
      <x:c r="AP149" s="23" t="n">
        <x:v>65.09749563060865</x:v>
      </x:c>
      <x:c r="AQ149" s="19" t="n">
        <x:v>221</x:v>
      </x:c>
      <x:c r="AR149" s="19" t="n">
        <x:v>39</x:v>
      </x:c>
      <x:c r="AS149" s="19" t="n">
        <x:v>0</x:v>
      </x:c>
      <x:c r="AT149" s="19" t="n">
        <x:v>0</x:v>
      </x:c>
    </x:row>
    <x:row r="150" ht="25" customHeight="1">
      <x:c r="A150" s="18" t="str">
        <x:v>no_purchases</x:v>
      </x:c>
      <x:c r="B150" s="18" t="n">
        <x:v>3</x:v>
      </x:c>
      <x:c r="C150" s="18" t="n">
        <x:v>30</x:v>
      </x:c>
      <x:c r="D150" s="18" t="n">
        <x:v>20</x:v>
      </x:c>
      <x:c r="E150" s="18" t="n">
        <x:v>21</x:v>
      </x:c>
      <x:c r="F150" s="18" t="n">
        <x:v>80</x:v>
      </x:c>
      <x:c r="G150" s="18" t="n">
        <x:v>53372</x:v>
      </x:c>
      <x:c r="H150" s="18" t="n">
        <x:v>9510</x:v>
      </x:c>
      <x:c r="I150" s="20" t="n">
        <x:v>5090.665203069479</x:v>
      </x:c>
      <x:c r="J150" s="20" t="n">
        <x:v>4.35</x:v>
      </x:c>
      <x:c r="K150" s="18" t="n">
        <x:v>0</x:v>
      </x:c>
      <x:c r="L150" s="18" t="n">
        <x:v>0</x:v>
      </x:c>
      <x:c r="M150" s="18" t="n">
        <x:v>240</x:v>
      </x:c>
      <x:c r="N150" s="18" t="n">
        <x:v>2</x:v>
      </x:c>
      <x:c r="O150" s="22" t="n">
        <x:v>389.04387629436144</x:v>
      </x:c>
      <x:c r="P150" s="22" t="n">
        <x:v>309.6377903559308</x:v>
      </x:c>
      <x:c r="Q150" s="22" t="n">
        <x:v>45.388452234342154</x:v>
      </x:c>
      <x:c r="R150" s="22" t="n">
        <x:v>46.52316354020072</x:v>
      </x:c>
      <x:c r="S150" s="24" t="n">
        <x:v>0.050000000000000044</x:v>
      </x:c>
      <x:c r="T150" s="20" t="n">
        <x:v>1.5</x:v>
      </x:c>
      <x:c r="U150" s="22" t="n">
        <x:v>123110.55429733329</x:v>
      </x:c>
      <x:c r="V150" s="22" t="n">
        <x:v>347885.4816996268</x:v>
      </x:c>
      <x:c r="W150" s="22" t="n">
        <x:v>3021781.2351275533</x:v>
      </x:c>
      <x:c r="X150" s="22" t="n">
        <x:v>3236661.927320046</x:v>
      </x:c>
      <x:c r="Y150" s="22" t="n">
        <x:v>75794.82684787716</x:v>
      </x:c>
      <x:c r="Z150" s="22" t="n">
        <x:v>0</x:v>
      </x:c>
      <x:c r="AA150" s="22" t="n">
        <x:v>0</x:v>
      </x:c>
      <x:c r="AB150" s="22" t="n">
        <x:v>3236661.927320046</x:v>
      </x:c>
      <x:c r="AC150" s="22" t="n">
        <x:v>75794.82684787716</x:v>
      </x:c>
      <x:c r="AD150" s="18" t="n">
        <x:v>0</x:v>
      </x:c>
      <x:c r="AE150" s="18" t="n">
        <x:v>0</x:v>
      </x:c>
      <x:c r="AF150" s="18" t="n">
        <x:v>0</x:v>
      </x:c>
      <x:c r="AG150" s="18" t="n">
        <x:v>0</x:v>
      </x:c>
      <x:c r="AH150" s="18" t="n">
        <x:v>0</x:v>
      </x:c>
      <x:c r="AI150" s="18" t="n">
        <x:v>0</x:v>
      </x:c>
      <x:c r="AJ150" s="18" t="n">
        <x:v>0</x:v>
      </x:c>
      <x:c r="AK150" s="18" t="n">
        <x:v>0</x:v>
      </x:c>
      <x:c r="AL150" s="22" t="n">
        <x:v>207.15365083774697</x:v>
      </x:c>
      <x:c r="AM150" s="22" t="n">
        <x:v>19.851521484607737</x:v>
      </x:c>
      <x:c r="AN150" s="22" t="n">
        <x:v>73.39090853809752</x:v>
      </x:c>
      <x:c r="AO150" s="22" t="n">
        <x:v>6.115909044841462</x:v>
      </x:c>
      <x:c r="AP150" s="22" t="n">
        <x:v>65.09749563060865</x:v>
      </x:c>
      <x:c r="AQ150" s="18" t="n">
        <x:v>218</x:v>
      </x:c>
      <x:c r="AR150" s="18" t="n">
        <x:v>40</x:v>
      </x:c>
      <x:c r="AS150" s="18" t="n">
        <x:v>0</x:v>
      </x:c>
      <x:c r="AT150" s="18" t="n">
        <x:v>0</x:v>
      </x:c>
    </x:row>
    <x:row r="151" ht="25" customHeight="1">
      <x:c r="A151" s="19" t="str">
        <x:v>no_purchases</x:v>
      </x:c>
      <x:c r="B151" s="19" t="n">
        <x:v>4</x:v>
      </x:c>
      <x:c r="C151" s="19" t="n">
        <x:v>30</x:v>
      </x:c>
      <x:c r="D151" s="19" t="n">
        <x:v>20</x:v>
      </x:c>
      <x:c r="E151" s="19" t="n">
        <x:v>21</x:v>
      </x:c>
      <x:c r="F151" s="19" t="n">
        <x:v>80</x:v>
      </x:c>
      <x:c r="G151" s="19" t="n">
        <x:v>53771</x:v>
      </x:c>
      <x:c r="H151" s="19" t="n">
        <x:v>9353</x:v>
      </x:c>
      <x:c r="I151" s="21" t="n">
        <x:v>2519.032166175317</x:v>
      </x:c>
      <x:c r="J151" s="21" t="n">
        <x:v>4.35</x:v>
      </x:c>
      <x:c r="K151" s="19" t="n">
        <x:v>0</x:v>
      </x:c>
      <x:c r="L151" s="19" t="n">
        <x:v>0</x:v>
      </x:c>
      <x:c r="M151" s="19" t="n">
        <x:v>240</x:v>
      </x:c>
      <x:c r="N151" s="19" t="n">
        <x:v>3</x:v>
      </x:c>
      <x:c r="O151" s="23" t="n">
        <x:v>389.04387629436144</x:v>
      </x:c>
      <x:c r="P151" s="23" t="n">
        <x:v>269.9347473867153</x:v>
      </x:c>
      <x:c r="Q151" s="23" t="n">
        <x:v>45.388452234342154</x:v>
      </x:c>
      <x:c r="R151" s="23" t="n">
        <x:v>46.52316354020072</x:v>
      </x:c>
      <x:c r="S151" s="25" t="n">
        <x:v>0.050000000000000044</x:v>
      </x:c>
      <x:c r="T151" s="21" t="n">
        <x:v>1.5</x:v>
      </x:c>
      <x:c r="U151" s="23" t="n">
        <x:v>114757.81185856902</x:v>
      </x:c>
      <x:c r="V151" s="23" t="n">
        <x:v>347885.4816996268</x:v>
      </x:c>
      <x:c r="W151" s="23" t="n">
        <x:v>3013428.492688788</x:v>
      </x:c>
      <x:c r="X151" s="23" t="n">
        <x:v>3212740.250055136</x:v>
      </x:c>
      <x:c r="Y151" s="23" t="n">
        <x:v>75134.65499396168</x:v>
      </x:c>
      <x:c r="Z151" s="23" t="n">
        <x:v>0</x:v>
      </x:c>
      <x:c r="AA151" s="23" t="n">
        <x:v>0</x:v>
      </x:c>
      <x:c r="AB151" s="23" t="n">
        <x:v>3212740.250055136</x:v>
      </x:c>
      <x:c r="AC151" s="23" t="n">
        <x:v>75134.65499396168</x:v>
      </x:c>
      <x:c r="AD151" s="19" t="n">
        <x:v>0</x:v>
      </x:c>
      <x:c r="AE151" s="19" t="n">
        <x:v>0</x:v>
      </x:c>
      <x:c r="AF151" s="19" t="n">
        <x:v>0</x:v>
      </x:c>
      <x:c r="AG151" s="19" t="n">
        <x:v>0</x:v>
      </x:c>
      <x:c r="AH151" s="19" t="n">
        <x:v>0</x:v>
      </x:c>
      <x:c r="AI151" s="19" t="n">
        <x:v>0</x:v>
      </x:c>
      <x:c r="AJ151" s="19" t="n">
        <x:v>0</x:v>
      </x:c>
      <x:c r="AK151" s="19" t="n">
        <x:v>0</x:v>
      </x:c>
      <x:c r="AL151" s="23" t="n">
        <x:v>207.15365083774697</x:v>
      </x:c>
      <x:c r="AM151" s="23" t="n">
        <x:v>19.851521484607737</x:v>
      </x:c>
      <x:c r="AN151" s="23" t="n">
        <x:v>73.39090853809752</x:v>
      </x:c>
      <x:c r="AO151" s="23" t="n">
        <x:v>6.115909044841462</x:v>
      </x:c>
      <x:c r="AP151" s="23" t="n">
        <x:v>65.09749563060865</x:v>
      </x:c>
      <x:c r="AQ151" s="19" t="n">
        <x:v>222</x:v>
      </x:c>
      <x:c r="AR151" s="19" t="n">
        <x:v>39</x:v>
      </x:c>
      <x:c r="AS151" s="19" t="n">
        <x:v>0</x:v>
      </x:c>
      <x:c r="AT151" s="19" t="n">
        <x:v>0</x:v>
      </x:c>
    </x:row>
    <x:row r="152" ht="25" customHeight="1">
      <x:c r="A152" s="18" t="str">
        <x:v>no_purchases</x:v>
      </x:c>
      <x:c r="B152" s="18" t="n">
        <x:v>5</x:v>
      </x:c>
      <x:c r="C152" s="18" t="n">
        <x:v>30</x:v>
      </x:c>
      <x:c r="D152" s="18" t="n">
        <x:v>20</x:v>
      </x:c>
      <x:c r="E152" s="18" t="n">
        <x:v>21</x:v>
      </x:c>
      <x:c r="F152" s="18" t="n">
        <x:v>80</x:v>
      </x:c>
      <x:c r="G152" s="18" t="n">
        <x:v>52846</x:v>
      </x:c>
      <x:c r="H152" s="18" t="n">
        <x:v>9788</x:v>
      </x:c>
      <x:c r="I152" s="20" t="n">
        <x:v>2533.6125208022077</x:v>
      </x:c>
      <x:c r="J152" s="20" t="n">
        <x:v>4.35</x:v>
      </x:c>
      <x:c r="K152" s="18" t="n">
        <x:v>0</x:v>
      </x:c>
      <x:c r="L152" s="18" t="n">
        <x:v>0</x:v>
      </x:c>
      <x:c r="M152" s="18" t="n">
        <x:v>240</x:v>
      </x:c>
      <x:c r="N152" s="18" t="n">
        <x:v>2</x:v>
      </x:c>
      <x:c r="O152" s="22" t="n">
        <x:v>389.04387629436144</x:v>
      </x:c>
      <x:c r="P152" s="22" t="n">
        <x:v>329.4893118405384</x:v>
      </x:c>
      <x:c r="Q152" s="22" t="n">
        <x:v>45.388452234342154</x:v>
      </x:c>
      <x:c r="R152" s="22" t="n">
        <x:v>46.52316354020072</x:v>
      </x:c>
      <x:c r="S152" s="24" t="n">
        <x:v>0.050000000000000044</x:v>
      </x:c>
      <x:c r="T152" s="20" t="n">
        <x:v>1.5</x:v>
      </x:c>
      <x:c r="U152" s="22" t="n">
        <x:v>119161.52721953507</x:v>
      </x:c>
      <x:c r="V152" s="22" t="n">
        <x:v>347885.4816996268</x:v>
      </x:c>
      <x:c r="W152" s="22" t="n">
        <x:v>3017832.208049752</x:v>
      </x:c>
      <x:c r="X152" s="22" t="n">
        <x:v>3248066.996431335</x:v>
      </x:c>
      <x:c r="Y152" s="22" t="n">
        <x:v>75240.19343840315</x:v>
      </x:c>
      <x:c r="Z152" s="22" t="n">
        <x:v>0</x:v>
      </x:c>
      <x:c r="AA152" s="22" t="n">
        <x:v>0</x:v>
      </x:c>
      <x:c r="AB152" s="22" t="n">
        <x:v>3248066.996431335</x:v>
      </x:c>
      <x:c r="AC152" s="22" t="n">
        <x:v>75240.19343840315</x:v>
      </x:c>
      <x:c r="AD152" s="18" t="n">
        <x:v>0</x:v>
      </x:c>
      <x:c r="AE152" s="18" t="n">
        <x:v>0</x:v>
      </x:c>
      <x:c r="AF152" s="18" t="n">
        <x:v>0</x:v>
      </x:c>
      <x:c r="AG152" s="18" t="n">
        <x:v>0</x:v>
      </x:c>
      <x:c r="AH152" s="18" t="n">
        <x:v>0</x:v>
      </x:c>
      <x:c r="AI152" s="18" t="n">
        <x:v>0</x:v>
      </x:c>
      <x:c r="AJ152" s="18" t="n">
        <x:v>0</x:v>
      </x:c>
      <x:c r="AK152" s="18" t="n">
        <x:v>0</x:v>
      </x:c>
      <x:c r="AL152" s="22" t="n">
        <x:v>207.15365083774697</x:v>
      </x:c>
      <x:c r="AM152" s="22" t="n">
        <x:v>19.851521484607737</x:v>
      </x:c>
      <x:c r="AN152" s="22" t="n">
        <x:v>73.39090853809752</x:v>
      </x:c>
      <x:c r="AO152" s="22" t="n">
        <x:v>6.115909044841462</x:v>
      </x:c>
      <x:c r="AP152" s="22" t="n">
        <x:v>65.09749563060865</x:v>
      </x:c>
      <x:c r="AQ152" s="18" t="n">
        <x:v>222</x:v>
      </x:c>
      <x:c r="AR152" s="18" t="n">
        <x:v>40</x:v>
      </x:c>
      <x:c r="AS152" s="18" t="n">
        <x:v>0</x:v>
      </x:c>
      <x:c r="AT152" s="18" t="n">
        <x:v>0</x:v>
      </x:c>
    </x:row>
    <x:row r="153" ht="25" customHeight="1">
      <x:c r="A153" s="19" t="str">
        <x:v>no_purchases</x:v>
      </x:c>
      <x:c r="B153" s="19" t="n">
        <x:v>6</x:v>
      </x:c>
      <x:c r="C153" s="19" t="n">
        <x:v>30</x:v>
      </x:c>
      <x:c r="D153" s="19" t="n">
        <x:v>21</x:v>
      </x:c>
      <x:c r="E153" s="19" t="n">
        <x:v>22</x:v>
      </x:c>
      <x:c r="F153" s="19" t="n">
        <x:v>80</x:v>
      </x:c>
      <x:c r="G153" s="19" t="n">
        <x:v>53084</x:v>
      </x:c>
      <x:c r="H153" s="19" t="n">
        <x:v>9665</x:v>
      </x:c>
      <x:c r="I153" s="21" t="n">
        <x:v>3487.1245414267196</x:v>
      </x:c>
      <x:c r="J153" s="21" t="n">
        <x:v>4.35</x:v>
      </x:c>
      <x:c r="K153" s="19" t="n">
        <x:v>0</x:v>
      </x:c>
      <x:c r="L153" s="19" t="n">
        <x:v>0</x:v>
      </x:c>
      <x:c r="M153" s="19" t="n">
        <x:v>240</x:v>
      </x:c>
      <x:c r="N153" s="19" t="n">
        <x:v>2</x:v>
      </x:c>
      <x:c r="O153" s="23" t="n">
        <x:v>389.04387629436144</x:v>
      </x:c>
      <x:c r="P153" s="23" t="n">
        <x:v>262.19265400771803</x:v>
      </x:c>
      <x:c r="Q153" s="23" t="n">
        <x:v>45.388452234342154</x:v>
      </x:c>
      <x:c r="R153" s="23" t="n">
        <x:v>46.52316354020072</x:v>
      </x:c>
      <x:c r="S153" s="25" t="n">
        <x:v>0.050000000000000044</x:v>
      </x:c>
      <x:c r="T153" s="21" t="n">
        <x:v>1.5</x:v>
      </x:c>
      <x:c r="U153" s="23" t="n">
        <x:v>152978.47334062267</x:v>
      </x:c>
      <x:c r="V153" s="23" t="n">
        <x:v>347885.4816996268</x:v>
      </x:c>
      <x:c r="W153" s="23" t="n">
        <x:v>3051649.154170844</x:v>
      </x:c>
      <x:c r="X153" s="23" t="n">
        <x:v>3287554.158691428</x:v>
      </x:c>
      <x:c r="Y153" s="23" t="n">
        <x:v>75731.70842992808</x:v>
      </x:c>
      <x:c r="Z153" s="23" t="n">
        <x:v>0</x:v>
      </x:c>
      <x:c r="AA153" s="23" t="n">
        <x:v>0</x:v>
      </x:c>
      <x:c r="AB153" s="23" t="n">
        <x:v>3287554.158691428</x:v>
      </x:c>
      <x:c r="AC153" s="23" t="n">
        <x:v>75731.70842992808</x:v>
      </x:c>
      <x:c r="AD153" s="19" t="n">
        <x:v>0</x:v>
      </x:c>
      <x:c r="AE153" s="19" t="n">
        <x:v>0</x:v>
      </x:c>
      <x:c r="AF153" s="19" t="n">
        <x:v>0</x:v>
      </x:c>
      <x:c r="AG153" s="19" t="n">
        <x:v>0</x:v>
      </x:c>
      <x:c r="AH153" s="19" t="n">
        <x:v>0</x:v>
      </x:c>
      <x:c r="AI153" s="19" t="n">
        <x:v>0</x:v>
      </x:c>
      <x:c r="AJ153" s="19" t="n">
        <x:v>0</x:v>
      </x:c>
      <x:c r="AK153" s="19" t="n">
        <x:v>0</x:v>
      </x:c>
      <x:c r="AL153" s="23" t="n">
        <x:v>223.7259429047668</x:v>
      </x:c>
      <x:c r="AM153" s="23" t="n">
        <x:v>21.141870381107232</x:v>
      </x:c>
      <x:c r="AN153" s="23" t="n">
        <x:v>80.72999939190728</x:v>
      </x:c>
      <x:c r="AO153" s="23" t="n">
        <x:v>6.727499949325608</x:v>
      </x:c>
      <x:c r="AP153" s="23" t="n">
        <x:v>69.65432032475127</x:v>
      </x:c>
      <x:c r="AQ153" s="19" t="n">
        <x:v>216</x:v>
      </x:c>
      <x:c r="AR153" s="19" t="n">
        <x:v>43</x:v>
      </x:c>
      <x:c r="AS153" s="19" t="n">
        <x:v>0</x:v>
      </x:c>
      <x:c r="AT153" s="19" t="n">
        <x:v>0</x:v>
      </x:c>
    </x:row>
    <x:row r="154" ht="25" customHeight="1">
      <x:c r="A154" s="18" t="str">
        <x:v>no_purchases</x:v>
      </x:c>
      <x:c r="B154" s="18" t="n">
        <x:v>7</x:v>
      </x:c>
      <x:c r="C154" s="18" t="n">
        <x:v>30</x:v>
      </x:c>
      <x:c r="D154" s="18" t="n">
        <x:v>21</x:v>
      </x:c>
      <x:c r="E154" s="18" t="n">
        <x:v>21</x:v>
      </x:c>
      <x:c r="F154" s="18" t="n">
        <x:v>80</x:v>
      </x:c>
      <x:c r="G154" s="18" t="n">
        <x:v>52607</x:v>
      </x:c>
      <x:c r="H154" s="18" t="n">
        <x:v>9868</x:v>
      </x:c>
      <x:c r="I154" s="20" t="n">
        <x:v>3115.96986162222</x:v>
      </x:c>
      <x:c r="J154" s="20" t="n">
        <x:v>4.35</x:v>
      </x:c>
      <x:c r="K154" s="18" t="n">
        <x:v>0</x:v>
      </x:c>
      <x:c r="L154" s="18" t="n">
        <x:v>0</x:v>
      </x:c>
      <x:c r="M154" s="18" t="n">
        <x:v>240</x:v>
      </x:c>
      <x:c r="N154" s="18" t="n">
        <x:v>1</x:v>
      </x:c>
      <x:c r="O154" s="22" t="n">
        <x:v>389.04387629436144</x:v>
      </x:c>
      <x:c r="P154" s="22" t="n">
        <x:v>43.6274024621873</x:v>
      </x:c>
      <x:c r="Q154" s="22" t="n">
        <x:v>45.388452234342154</x:v>
      </x:c>
      <x:c r="R154" s="22" t="n">
        <x:v>46.52316354020072</x:v>
      </x:c>
      <x:c r="S154" s="24" t="n">
        <x:v>0.050000000000000044</x:v>
      </x:c>
      <x:c r="T154" s="20" t="n">
        <x:v>1.5</x:v>
      </x:c>
      <x:c r="U154" s="22" t="n">
        <x:v>153907.18489742142</x:v>
      </x:c>
      <x:c r="V154" s="22" t="n">
        <x:v>347885.4816996268</x:v>
      </x:c>
      <x:c r="W154" s="22" t="n">
        <x:v>3052577.8657276398</x:v>
      </x:c>
      <x:c r="X154" s="22" t="n">
        <x:v>3301075.859815121</x:v>
      </x:c>
      <x:c r="Y154" s="22" t="n">
        <x:v>76412.89318667715</x:v>
      </x:c>
      <x:c r="Z154" s="22" t="n">
        <x:v>0</x:v>
      </x:c>
      <x:c r="AA154" s="22" t="n">
        <x:v>0</x:v>
      </x:c>
      <x:c r="AB154" s="22" t="n">
        <x:v>3301075.859815121</x:v>
      </x:c>
      <x:c r="AC154" s="22" t="n">
        <x:v>76412.89318667715</x:v>
      </x:c>
      <x:c r="AD154" s="18" t="n">
        <x:v>0</x:v>
      </x:c>
      <x:c r="AE154" s="18" t="n">
        <x:v>0</x:v>
      </x:c>
      <x:c r="AF154" s="18" t="n">
        <x:v>0</x:v>
      </x:c>
      <x:c r="AG154" s="18" t="n">
        <x:v>0</x:v>
      </x:c>
      <x:c r="AH154" s="18" t="n">
        <x:v>0</x:v>
      </x:c>
      <x:c r="AI154" s="18" t="n">
        <x:v>0</x:v>
      </x:c>
      <x:c r="AJ154" s="18" t="n">
        <x:v>0</x:v>
      </x:c>
      <x:c r="AK154" s="18" t="n">
        <x:v>0</x:v>
      </x:c>
      <x:c r="AL154" s="22" t="n">
        <x:v>223.7259429047668</x:v>
      </x:c>
      <x:c r="AM154" s="22" t="n">
        <x:v>21.141870381107232</x:v>
      </x:c>
      <x:c r="AN154" s="22" t="n">
        <x:v>80.72999939190728</x:v>
      </x:c>
      <x:c r="AO154" s="22" t="n">
        <x:v>6.727499949325608</x:v>
      </x:c>
      <x:c r="AP154" s="22" t="n">
        <x:v>69.65432032475127</x:v>
      </x:c>
      <x:c r="AQ154" s="18" t="n">
        <x:v>222</x:v>
      </x:c>
      <x:c r="AR154" s="18" t="n">
        <x:v>39</x:v>
      </x:c>
      <x:c r="AS154" s="18" t="n">
        <x:v>1</x:v>
      </x:c>
      <x:c r="AT154" s="18" t="n">
        <x:v>0</x:v>
      </x:c>
    </x:row>
    <x:row r="155" ht="25" customHeight="1">
      <x:c r="A155" s="19" t="str">
        <x:v>no_purchases</x:v>
      </x:c>
      <x:c r="B155" s="19" t="n">
        <x:v>8</x:v>
      </x:c>
      <x:c r="C155" s="19" t="n">
        <x:v>30</x:v>
      </x:c>
      <x:c r="D155" s="19" t="n">
        <x:v>21</x:v>
      </x:c>
      <x:c r="E155" s="19" t="n">
        <x:v>21</x:v>
      </x:c>
      <x:c r="F155" s="19" t="n">
        <x:v>80</x:v>
      </x:c>
      <x:c r="G155" s="19" t="n">
        <x:v>53412</x:v>
      </x:c>
      <x:c r="H155" s="19" t="n">
        <x:v>9539</x:v>
      </x:c>
      <x:c r="I155" s="21" t="n">
        <x:v>3173.041100419272</x:v>
      </x:c>
      <x:c r="J155" s="21" t="n">
        <x:v>4.35</x:v>
      </x:c>
      <x:c r="K155" s="19" t="n">
        <x:v>0</x:v>
      </x:c>
      <x:c r="L155" s="19" t="n">
        <x:v>0</x:v>
      </x:c>
      <x:c r="M155" s="19" t="n">
        <x:v>240</x:v>
      </x:c>
      <x:c r="N155" s="19" t="n">
        <x:v>1</x:v>
      </x:c>
      <x:c r="O155" s="23" t="n">
        <x:v>389.04387629436144</x:v>
      </x:c>
      <x:c r="P155" s="23" t="n">
        <x:v>43.031856817648666</x:v>
      </x:c>
      <x:c r="Q155" s="23" t="n">
        <x:v>45.388452234342154</x:v>
      </x:c>
      <x:c r="R155" s="23" t="n">
        <x:v>46.52316354020072</x:v>
      </x:c>
      <x:c r="S155" s="25" t="n">
        <x:v>0.050000000000000044</x:v>
      </x:c>
      <x:c r="T155" s="21" t="n">
        <x:v>1.5</x:v>
      </x:c>
      <x:c r="U155" s="23" t="n">
        <x:v>137862.8496528569</x:v>
      </x:c>
      <x:c r="V155" s="23" t="n">
        <x:v>347885.4816996268</x:v>
      </x:c>
      <x:c r="W155" s="23" t="n">
        <x:v>3036533.5304830736</x:v>
      </x:c>
      <x:c r="X155" s="23" t="n">
        <x:v>3256892.417983085</x:v>
      </x:c>
      <x:c r="Y155" s="23" t="n">
        <x:v>76439.60626726618</x:v>
      </x:c>
      <x:c r="Z155" s="23" t="n">
        <x:v>0</x:v>
      </x:c>
      <x:c r="AA155" s="23" t="n">
        <x:v>0</x:v>
      </x:c>
      <x:c r="AB155" s="23" t="n">
        <x:v>3256892.417983085</x:v>
      </x:c>
      <x:c r="AC155" s="23" t="n">
        <x:v>76439.60626726618</x:v>
      </x:c>
      <x:c r="AD155" s="19" t="n">
        <x:v>0</x:v>
      </x:c>
      <x:c r="AE155" s="19" t="n">
        <x:v>0</x:v>
      </x:c>
      <x:c r="AF155" s="19" t="n">
        <x:v>0</x:v>
      </x:c>
      <x:c r="AG155" s="19" t="n">
        <x:v>0</x:v>
      </x:c>
      <x:c r="AH155" s="19" t="n">
        <x:v>0</x:v>
      </x:c>
      <x:c r="AI155" s="19" t="n">
        <x:v>0</x:v>
      </x:c>
      <x:c r="AJ155" s="19" t="n">
        <x:v>0</x:v>
      </x:c>
      <x:c r="AK155" s="19" t="n">
        <x:v>0</x:v>
      </x:c>
      <x:c r="AL155" s="23" t="n">
        <x:v>223.7259429047668</x:v>
      </x:c>
      <x:c r="AM155" s="23" t="n">
        <x:v>21.141870381107232</x:v>
      </x:c>
      <x:c r="AN155" s="23" t="n">
        <x:v>80.72999939190728</x:v>
      </x:c>
      <x:c r="AO155" s="23" t="n">
        <x:v>6.727499949325608</x:v>
      </x:c>
      <x:c r="AP155" s="23" t="n">
        <x:v>69.65432032475127</x:v>
      </x:c>
      <x:c r="AQ155" s="19" t="n">
        <x:v>221</x:v>
      </x:c>
      <x:c r="AR155" s="19" t="n">
        <x:v>39</x:v>
      </x:c>
      <x:c r="AS155" s="19" t="n">
        <x:v>0</x:v>
      </x:c>
      <x:c r="AT155" s="19" t="n">
        <x:v>0</x:v>
      </x:c>
    </x:row>
    <x:row r="156" ht="25" customHeight="1">
      <x:c r="A156" s="18" t="str">
        <x:v>no_purchases</x:v>
      </x:c>
      <x:c r="B156" s="18" t="n">
        <x:v>9</x:v>
      </x:c>
      <x:c r="C156" s="18" t="n">
        <x:v>30</x:v>
      </x:c>
      <x:c r="D156" s="18" t="n">
        <x:v>20</x:v>
      </x:c>
      <x:c r="E156" s="18" t="n">
        <x:v>21</x:v>
      </x:c>
      <x:c r="F156" s="18" t="n">
        <x:v>80</x:v>
      </x:c>
      <x:c r="G156" s="18" t="n">
        <x:v>53035</x:v>
      </x:c>
      <x:c r="H156" s="18" t="n">
        <x:v>9685</x:v>
      </x:c>
      <x:c r="I156" s="20" t="n">
        <x:v>2438.774393427861</x:v>
      </x:c>
      <x:c r="J156" s="20" t="n">
        <x:v>4.35</x:v>
      </x:c>
      <x:c r="K156" s="18" t="n">
        <x:v>0</x:v>
      </x:c>
      <x:c r="L156" s="18" t="n">
        <x:v>0</x:v>
      </x:c>
      <x:c r="M156" s="18" t="n">
        <x:v>240</x:v>
      </x:c>
      <x:c r="N156" s="18" t="n">
        <x:v>5</x:v>
      </x:c>
      <x:c r="O156" s="22" t="n">
        <x:v>389.04387629436144</x:v>
      </x:c>
      <x:c r="P156" s="22" t="n">
        <x:v>150.82561847906874</x:v>
      </x:c>
      <x:c r="Q156" s="22" t="n">
        <x:v>45.388452234342154</x:v>
      </x:c>
      <x:c r="R156" s="22" t="n">
        <x:v>46.52316354020072</x:v>
      </x:c>
      <x:c r="S156" s="24" t="n">
        <x:v>0.050000000000000044</x:v>
      </x:c>
      <x:c r="T156" s="20" t="n">
        <x:v>1.5</x:v>
      </x:c>
      <x:c r="U156" s="22" t="n">
        <x:v>137198.5599608118</x:v>
      </x:c>
      <x:c r="V156" s="22" t="n">
        <x:v>347885.4816996268</x:v>
      </x:c>
      <x:c r="W156" s="22" t="n">
        <x:v>3035869.240791028</x:v>
      </x:c>
      <x:c r="X156" s="22" t="n">
        <x:v>3269643.9386361535</x:v>
      </x:c>
      <x:c r="Y156" s="22" t="n">
        <x:v>77019.97544666307</x:v>
      </x:c>
      <x:c r="Z156" s="22" t="n">
        <x:v>0</x:v>
      </x:c>
      <x:c r="AA156" s="22" t="n">
        <x:v>0</x:v>
      </x:c>
      <x:c r="AB156" s="22" t="n">
        <x:v>3269643.9386361535</x:v>
      </x:c>
      <x:c r="AC156" s="22" t="n">
        <x:v>77019.97544666307</x:v>
      </x:c>
      <x:c r="AD156" s="18" t="n">
        <x:v>0</x:v>
      </x:c>
      <x:c r="AE156" s="18" t="n">
        <x:v>0</x:v>
      </x:c>
      <x:c r="AF156" s="18" t="n">
        <x:v>0</x:v>
      </x:c>
      <x:c r="AG156" s="18" t="n">
        <x:v>0</x:v>
      </x:c>
      <x:c r="AH156" s="18" t="n">
        <x:v>0</x:v>
      </x:c>
      <x:c r="AI156" s="18" t="n">
        <x:v>0</x:v>
      </x:c>
      <x:c r="AJ156" s="18" t="n">
        <x:v>0</x:v>
      </x:c>
      <x:c r="AK156" s="18" t="n">
        <x:v>0</x:v>
      </x:c>
      <x:c r="AL156" s="22" t="n">
        <x:v>207.15365083774697</x:v>
      </x:c>
      <x:c r="AM156" s="22" t="n">
        <x:v>19.851521484607737</x:v>
      </x:c>
      <x:c r="AN156" s="22" t="n">
        <x:v>73.39090853809752</x:v>
      </x:c>
      <x:c r="AO156" s="22" t="n">
        <x:v>6.115909044841462</x:v>
      </x:c>
      <x:c r="AP156" s="22" t="n">
        <x:v>65.09749563060865</x:v>
      </x:c>
      <x:c r="AQ156" s="18" t="n">
        <x:v>221</x:v>
      </x:c>
      <x:c r="AR156" s="18" t="n">
        <x:v>39</x:v>
      </x:c>
      <x:c r="AS156" s="18" t="n">
        <x:v>0</x:v>
      </x:c>
      <x:c r="AT156" s="18" t="n">
        <x:v>0</x:v>
      </x:c>
    </x:row>
    <x:row r="157" ht="25" customHeight="1">
      <x:c r="A157" s="19" t="str">
        <x:v>no_purchases</x:v>
      </x:c>
      <x:c r="B157" s="19" t="n">
        <x:v>10</x:v>
      </x:c>
      <x:c r="C157" s="19" t="n">
        <x:v>30</x:v>
      </x:c>
      <x:c r="D157" s="19" t="n">
        <x:v>20</x:v>
      </x:c>
      <x:c r="E157" s="19" t="n">
        <x:v>21</x:v>
      </x:c>
      <x:c r="F157" s="19" t="n">
        <x:v>80</x:v>
      </x:c>
      <x:c r="G157" s="19" t="n">
        <x:v>52764</x:v>
      </x:c>
      <x:c r="H157" s="19" t="n">
        <x:v>9785</x:v>
      </x:c>
      <x:c r="I157" s="21" t="n">
        <x:v>3232.3148602830206</x:v>
      </x:c>
      <x:c r="J157" s="21" t="n">
        <x:v>4.35</x:v>
      </x:c>
      <x:c r="K157" s="19" t="n">
        <x:v>0</x:v>
      </x:c>
      <x:c r="L157" s="19" t="n">
        <x:v>0</x:v>
      </x:c>
      <x:c r="M157" s="19" t="n">
        <x:v>240</x:v>
      </x:c>
      <x:c r="N157" s="19" t="n">
        <x:v>1</x:v>
      </x:c>
      <x:c r="O157" s="23" t="n">
        <x:v>389.04387629436144</x:v>
      </x:c>
      <x:c r="P157" s="23" t="n">
        <x:v>389.04387629436144</x:v>
      </x:c>
      <x:c r="Q157" s="23" t="n">
        <x:v>45.388452234342154</x:v>
      </x:c>
      <x:c r="R157" s="23" t="n">
        <x:v>46.52316354020072</x:v>
      </x:c>
      <x:c r="S157" s="25" t="n">
        <x:v>0.050000000000000044</x:v>
      </x:c>
      <x:c r="T157" s="21" t="n">
        <x:v>1.5</x:v>
      </x:c>
      <x:c r="U157" s="23" t="n">
        <x:v>147009.56482111386</x:v>
      </x:c>
      <x:c r="V157" s="23" t="n">
        <x:v>347885.4816996268</x:v>
      </x:c>
      <x:c r="W157" s="23" t="n">
        <x:v>3045680.2456513313</x:v>
      </x:c>
      <x:c r="X157" s="23" t="n">
        <x:v>3287807.234480327</x:v>
      </x:c>
      <x:c r="Y157" s="23" t="n">
        <x:v>76280.8769125434</x:v>
      </x:c>
      <x:c r="Z157" s="23" t="n">
        <x:v>0</x:v>
      </x:c>
      <x:c r="AA157" s="23" t="n">
        <x:v>0</x:v>
      </x:c>
      <x:c r="AB157" s="23" t="n">
        <x:v>3287807.234480327</x:v>
      </x:c>
      <x:c r="AC157" s="23" t="n">
        <x:v>76280.8769125434</x:v>
      </x:c>
      <x:c r="AD157" s="19" t="n">
        <x:v>0</x:v>
      </x:c>
      <x:c r="AE157" s="19" t="n">
        <x:v>0</x:v>
      </x:c>
      <x:c r="AF157" s="19" t="n">
        <x:v>0</x:v>
      </x:c>
      <x:c r="AG157" s="19" t="n">
        <x:v>0</x:v>
      </x:c>
      <x:c r="AH157" s="19" t="n">
        <x:v>0</x:v>
      </x:c>
      <x:c r="AI157" s="19" t="n">
        <x:v>0</x:v>
      </x:c>
      <x:c r="AJ157" s="19" t="n">
        <x:v>0</x:v>
      </x:c>
      <x:c r="AK157" s="19" t="n">
        <x:v>0</x:v>
      </x:c>
      <x:c r="AL157" s="23" t="n">
        <x:v>207.15365083774697</x:v>
      </x:c>
      <x:c r="AM157" s="23" t="n">
        <x:v>19.851521484607737</x:v>
      </x:c>
      <x:c r="AN157" s="23" t="n">
        <x:v>73.39090853809752</x:v>
      </x:c>
      <x:c r="AO157" s="23" t="n">
        <x:v>6.115909044841462</x:v>
      </x:c>
      <x:c r="AP157" s="23" t="n">
        <x:v>65.09749563060865</x:v>
      </x:c>
      <x:c r="AQ157" s="19" t="n">
        <x:v>219</x:v>
      </x:c>
      <x:c r="AR157" s="19" t="n">
        <x:v>40</x:v>
      </x:c>
      <x:c r="AS157" s="19" t="n">
        <x:v>0</x:v>
      </x:c>
      <x:c r="AT157" s="19" t="n">
        <x:v>0</x:v>
      </x:c>
    </x:row>
    <x:row r="158" ht="25" customHeight="1">
      <x:c r="A158" s="18" t="str">
        <x:v>no_purchases</x:v>
      </x:c>
      <x:c r="B158" s="18" t="n">
        <x:v>11</x:v>
      </x:c>
      <x:c r="C158" s="18" t="n">
        <x:v>30</x:v>
      </x:c>
      <x:c r="D158" s="18" t="n">
        <x:v>20</x:v>
      </x:c>
      <x:c r="E158" s="18" t="n">
        <x:v>21</x:v>
      </x:c>
      <x:c r="F158" s="18" t="n">
        <x:v>80</x:v>
      </x:c>
      <x:c r="G158" s="18" t="n">
        <x:v>53238</x:v>
      </x:c>
      <x:c r="H158" s="18" t="n">
        <x:v>9607</x:v>
      </x:c>
      <x:c r="I158" s="20" t="n">
        <x:v>1690.9792866126645</x:v>
      </x:c>
      <x:c r="J158" s="20" t="n">
        <x:v>4.35</x:v>
      </x:c>
      <x:c r="K158" s="18" t="n">
        <x:v>0</x:v>
      </x:c>
      <x:c r="L158" s="18" t="n">
        <x:v>0</x:v>
      </x:c>
      <x:c r="M158" s="18" t="n">
        <x:v>240</x:v>
      </x:c>
      <x:c r="N158" s="18" t="n">
        <x:v>4</x:v>
      </x:c>
      <x:c r="O158" s="22" t="n">
        <x:v>389.04387629436144</x:v>
      </x:c>
      <x:c r="P158" s="22" t="n">
        <x:v>210.38018293289193</x:v>
      </x:c>
      <x:c r="Q158" s="22" t="n">
        <x:v>45.388452234342154</x:v>
      </x:c>
      <x:c r="R158" s="22" t="n">
        <x:v>46.52316354020072</x:v>
      </x:c>
      <x:c r="S158" s="24" t="n">
        <x:v>0.050000000000000044</x:v>
      </x:c>
      <x:c r="T158" s="20" t="n">
        <x:v>1.5</x:v>
      </x:c>
      <x:c r="U158" s="22" t="n">
        <x:v>141371.1052133336</x:v>
      </x:c>
      <x:c r="V158" s="22" t="n">
        <x:v>347885.4816996268</x:v>
      </x:c>
      <x:c r="W158" s="22" t="n">
        <x:v>3040041.7860435536</x:v>
      </x:c>
      <x:c r="X158" s="22" t="n">
        <x:v>3267876.9455990638</x:v>
      </x:c>
      <x:c r="Y158" s="22" t="n">
        <x:v>75064.96340533074</x:v>
      </x:c>
      <x:c r="Z158" s="22" t="n">
        <x:v>0</x:v>
      </x:c>
      <x:c r="AA158" s="22" t="n">
        <x:v>0</x:v>
      </x:c>
      <x:c r="AB158" s="22" t="n">
        <x:v>3267876.9455990638</x:v>
      </x:c>
      <x:c r="AC158" s="22" t="n">
        <x:v>75064.96340533074</x:v>
      </x:c>
      <x:c r="AD158" s="18" t="n">
        <x:v>0</x:v>
      </x:c>
      <x:c r="AE158" s="18" t="n">
        <x:v>0</x:v>
      </x:c>
      <x:c r="AF158" s="18" t="n">
        <x:v>0</x:v>
      </x:c>
      <x:c r="AG158" s="18" t="n">
        <x:v>0</x:v>
      </x:c>
      <x:c r="AH158" s="18" t="n">
        <x:v>0</x:v>
      </x:c>
      <x:c r="AI158" s="18" t="n">
        <x:v>0</x:v>
      </x:c>
      <x:c r="AJ158" s="18" t="n">
        <x:v>0</x:v>
      </x:c>
      <x:c r="AK158" s="18" t="n">
        <x:v>0</x:v>
      </x:c>
      <x:c r="AL158" s="22" t="n">
        <x:v>207.15365083774697</x:v>
      </x:c>
      <x:c r="AM158" s="22" t="n">
        <x:v>19.851521484607737</x:v>
      </x:c>
      <x:c r="AN158" s="22" t="n">
        <x:v>73.39090853809752</x:v>
      </x:c>
      <x:c r="AO158" s="22" t="n">
        <x:v>6.115909044841462</x:v>
      </x:c>
      <x:c r="AP158" s="22" t="n">
        <x:v>65.09749563060865</x:v>
      </x:c>
      <x:c r="AQ158" s="18" t="n">
        <x:v>222</x:v>
      </x:c>
      <x:c r="AR158" s="18" t="n">
        <x:v>39</x:v>
      </x:c>
      <x:c r="AS158" s="18" t="n">
        <x:v>0</x:v>
      </x:c>
      <x:c r="AT158" s="18" t="n">
        <x:v>0</x:v>
      </x:c>
    </x:row>
    <x:row r="159" ht="25" customHeight="1">
      <x:c r="A159" s="19" t="str">
        <x:v>no_purchases</x:v>
      </x:c>
      <x:c r="B159" s="19" t="n">
        <x:v>12</x:v>
      </x:c>
      <x:c r="C159" s="19" t="n">
        <x:v>30</x:v>
      </x:c>
      <x:c r="D159" s="19" t="n">
        <x:v>19</x:v>
      </x:c>
      <x:c r="E159" s="19" t="n">
        <x:v>20</x:v>
      </x:c>
      <x:c r="F159" s="19" t="n">
        <x:v>80</x:v>
      </x:c>
      <x:c r="G159" s="19" t="n">
        <x:v>53681</x:v>
      </x:c>
      <x:c r="H159" s="19" t="n">
        <x:v>9412</x:v>
      </x:c>
      <x:c r="I159" s="21" t="n">
        <x:v>2516.346360118134</x:v>
      </x:c>
      <x:c r="J159" s="21" t="n">
        <x:v>4.35</x:v>
      </x:c>
      <x:c r="K159" s="19" t="n">
        <x:v>0</x:v>
      </x:c>
      <x:c r="L159" s="19" t="n">
        <x:v>0</x:v>
      </x:c>
      <x:c r="M159" s="19" t="n">
        <x:v>240</x:v>
      </x:c>
      <x:c r="N159" s="19" t="n">
        <x:v>5</x:v>
      </x:c>
      <x:c r="O159" s="23" t="n">
        <x:v>389.04387629436144</x:v>
      </x:c>
      <x:c r="P159" s="23" t="n">
        <x:v>144.86084207054787</x:v>
      </x:c>
      <x:c r="Q159" s="23" t="n">
        <x:v>45.388452234342154</x:v>
      </x:c>
      <x:c r="R159" s="23" t="n">
        <x:v>46.52316354020072</x:v>
      </x:c>
      <x:c r="S159" s="25" t="n">
        <x:v>0.050000000000000044</x:v>
      </x:c>
      <x:c r="T159" s="21" t="n">
        <x:v>1.5</x:v>
      </x:c>
      <x:c r="U159" s="23" t="n">
        <x:v>144656.16928024037</x:v>
      </x:c>
      <x:c r="V159" s="23" t="n">
        <x:v>347885.4816996268</x:v>
      </x:c>
      <x:c r="W159" s="23" t="n">
        <x:v>3043326.8501104605</x:v>
      </x:c>
      <x:c r="X159" s="23" t="n">
        <x:v>3255931.6441281615</x:v>
      </x:c>
      <x:c r="Y159" s="23" t="n">
        <x:v>76467.30368927894</x:v>
      </x:c>
      <x:c r="Z159" s="23" t="n">
        <x:v>0</x:v>
      </x:c>
      <x:c r="AA159" s="23" t="n">
        <x:v>0</x:v>
      </x:c>
      <x:c r="AB159" s="23" t="n">
        <x:v>3255931.6441281615</x:v>
      </x:c>
      <x:c r="AC159" s="23" t="n">
        <x:v>76467.30368927894</x:v>
      </x:c>
      <x:c r="AD159" s="19" t="n">
        <x:v>0</x:v>
      </x:c>
      <x:c r="AE159" s="19" t="n">
        <x:v>0</x:v>
      </x:c>
      <x:c r="AF159" s="19" t="n">
        <x:v>0</x:v>
      </x:c>
      <x:c r="AG159" s="19" t="n">
        <x:v>0</x:v>
      </x:c>
      <x:c r="AH159" s="19" t="n">
        <x:v>0</x:v>
      </x:c>
      <x:c r="AI159" s="19" t="n">
        <x:v>0</x:v>
      </x:c>
      <x:c r="AJ159" s="19" t="n">
        <x:v>0</x:v>
      </x:c>
      <x:c r="AK159" s="19" t="n">
        <x:v>0</x:v>
      </x:c>
      <x:c r="AL159" s="23" t="n">
        <x:v>191.80893596087677</x:v>
      </x:c>
      <x:c r="AM159" s="23" t="n">
        <x:v>18.63992627662699</x:v>
      </x:c>
      <x:c r="AN159" s="23" t="n">
        <x:v>66.71900776190682</x:v>
      </x:c>
      <x:c r="AO159" s="23" t="n">
        <x:v>5.559917313492239</x:v>
      </x:c>
      <x:c r="AP159" s="23" t="n">
        <x:v>60.838780963185634</x:v>
      </x:c>
      <x:c r="AQ159" s="19" t="n">
        <x:v>225</x:v>
      </x:c>
      <x:c r="AR159" s="19" t="n">
        <x:v>37</x:v>
      </x:c>
      <x:c r="AS159" s="19" t="n">
        <x:v>0</x:v>
      </x:c>
      <x:c r="AT159" s="19" t="n">
        <x:v>0</x:v>
      </x:c>
    </x:row>
    <x:row r="160" ht="25" customHeight="1">
      <x:c r="A160" s="18" t="str">
        <x:v>no_purchases</x:v>
      </x:c>
      <x:c r="B160" s="18" t="n">
        <x:v>13</x:v>
      </x:c>
      <x:c r="C160" s="18" t="n">
        <x:v>30</x:v>
      </x:c>
      <x:c r="D160" s="18" t="n">
        <x:v>21</x:v>
      </x:c>
      <x:c r="E160" s="18" t="n">
        <x:v>21</x:v>
      </x:c>
      <x:c r="F160" s="18" t="n">
        <x:v>80</x:v>
      </x:c>
      <x:c r="G160" s="18" t="n">
        <x:v>52891</x:v>
      </x:c>
      <x:c r="H160" s="18" t="n">
        <x:v>9752</x:v>
      </x:c>
      <x:c r="I160" s="20" t="n">
        <x:v>2822.378806324091</x:v>
      </x:c>
      <x:c r="J160" s="20" t="n">
        <x:v>4.35</x:v>
      </x:c>
      <x:c r="K160" s="18" t="n">
        <x:v>0</x:v>
      </x:c>
      <x:c r="L160" s="18" t="n">
        <x:v>0</x:v>
      </x:c>
      <x:c r="M160" s="18" t="n">
        <x:v>240</x:v>
      </x:c>
      <x:c r="N160" s="18" t="n">
        <x:v>1</x:v>
      </x:c>
      <x:c r="O160" s="22" t="n">
        <x:v>389.04387629436144</x:v>
      </x:c>
      <x:c r="P160" s="22" t="n">
        <x:v>10.276846368045915</x:v>
      </x:c>
      <x:c r="Q160" s="22" t="n">
        <x:v>45.388452234342154</x:v>
      </x:c>
      <x:c r="R160" s="22" t="n">
        <x:v>46.52316354020072</x:v>
      </x:c>
      <x:c r="S160" s="24" t="n">
        <x:v>0.050000000000000044</x:v>
      </x:c>
      <x:c r="T160" s="20" t="n">
        <x:v>1.5</x:v>
      </x:c>
      <x:c r="U160" s="22" t="n">
        <x:v>142584.0693274526</x:v>
      </x:c>
      <x:c r="V160" s="22" t="n">
        <x:v>347885.4816996268</x:v>
      </x:c>
      <x:c r="W160" s="22" t="n">
        <x:v>3041254.7501576715</x:v>
      </x:c>
      <x:c r="X160" s="22" t="n">
        <x:v>3279483.506766293</x:v>
      </x:c>
      <x:c r="Y160" s="22" t="n">
        <x:v>76535.22054788547</x:v>
      </x:c>
      <x:c r="Z160" s="22" t="n">
        <x:v>0</x:v>
      </x:c>
      <x:c r="AA160" s="22" t="n">
        <x:v>0</x:v>
      </x:c>
      <x:c r="AB160" s="22" t="n">
        <x:v>3279483.506766293</x:v>
      </x:c>
      <x:c r="AC160" s="22" t="n">
        <x:v>76535.22054788547</x:v>
      </x:c>
      <x:c r="AD160" s="18" t="n">
        <x:v>0</x:v>
      </x:c>
      <x:c r="AE160" s="18" t="n">
        <x:v>0</x:v>
      </x:c>
      <x:c r="AF160" s="18" t="n">
        <x:v>0</x:v>
      </x:c>
      <x:c r="AG160" s="18" t="n">
        <x:v>0</x:v>
      </x:c>
      <x:c r="AH160" s="18" t="n">
        <x:v>0</x:v>
      </x:c>
      <x:c r="AI160" s="18" t="n">
        <x:v>0</x:v>
      </x:c>
      <x:c r="AJ160" s="18" t="n">
        <x:v>0</x:v>
      </x:c>
      <x:c r="AK160" s="18" t="n">
        <x:v>0</x:v>
      </x:c>
      <x:c r="AL160" s="22" t="n">
        <x:v>223.7259429047668</x:v>
      </x:c>
      <x:c r="AM160" s="22" t="n">
        <x:v>21.141870381107232</x:v>
      </x:c>
      <x:c r="AN160" s="22" t="n">
        <x:v>80.72999939190728</x:v>
      </x:c>
      <x:c r="AO160" s="22" t="n">
        <x:v>6.727499949325608</x:v>
      </x:c>
      <x:c r="AP160" s="22" t="n">
        <x:v>69.65432032475127</x:v>
      </x:c>
      <x:c r="AQ160" s="18" t="n">
        <x:v>221</x:v>
      </x:c>
      <x:c r="AR160" s="18" t="n">
        <x:v>39</x:v>
      </x:c>
      <x:c r="AS160" s="18" t="n">
        <x:v>0</x:v>
      </x:c>
      <x:c r="AT160" s="18" t="n">
        <x:v>0</x:v>
      </x:c>
    </x:row>
    <x:row r="161" ht="25" customHeight="1">
      <x:c r="A161" s="19" t="str">
        <x:v>no_purchases</x:v>
      </x:c>
      <x:c r="B161" s="19" t="n">
        <x:v>14</x:v>
      </x:c>
      <x:c r="C161" s="19" t="n">
        <x:v>30</x:v>
      </x:c>
      <x:c r="D161" s="19" t="n">
        <x:v>20</x:v>
      </x:c>
      <x:c r="E161" s="19" t="n">
        <x:v>21</x:v>
      </x:c>
      <x:c r="F161" s="19" t="n">
        <x:v>80</x:v>
      </x:c>
      <x:c r="G161" s="19" t="n">
        <x:v>52527</x:v>
      </x:c>
      <x:c r="H161" s="19" t="n">
        <x:v>9890</x:v>
      </x:c>
      <x:c r="I161" s="21" t="n">
        <x:v>3502.9137580760553</x:v>
      </x:c>
      <x:c r="J161" s="21" t="n">
        <x:v>4.35</x:v>
      </x:c>
      <x:c r="K161" s="19" t="n">
        <x:v>0</x:v>
      </x:c>
      <x:c r="L161" s="19" t="n">
        <x:v>0</x:v>
      </x:c>
      <x:c r="M161" s="19" t="n">
        <x:v>240</x:v>
      </x:c>
      <x:c r="N161" s="19" t="n">
        <x:v>2</x:v>
      </x:c>
      <x:c r="O161" s="23" t="n">
        <x:v>389.04387629436144</x:v>
      </x:c>
      <x:c r="P161" s="23" t="n">
        <x:v>329.4893118405384</x:v>
      </x:c>
      <x:c r="Q161" s="23" t="n">
        <x:v>45.388452234342154</x:v>
      </x:c>
      <x:c r="R161" s="23" t="n">
        <x:v>46.52316354020072</x:v>
      </x:c>
      <x:c r="S161" s="25" t="n">
        <x:v>0.050000000000000044</x:v>
      </x:c>
      <x:c r="T161" s="21" t="n">
        <x:v>1.5</x:v>
      </x:c>
      <x:c r="U161" s="23" t="n">
        <x:v>144751.5271733203</x:v>
      </x:c>
      <x:c r="V161" s="23" t="n">
        <x:v>347885.4816996268</x:v>
      </x:c>
      <x:c r="W161" s="23" t="n">
        <x:v>3043422.208003537</x:v>
      </x:c>
      <x:c r="X161" s="23" t="n">
        <x:v>3291005.309397567</x:v>
      </x:c>
      <x:c r="Y161" s="23" t="n">
        <x:v>76453.03619456926</x:v>
      </x:c>
      <x:c r="Z161" s="23" t="n">
        <x:v>0</x:v>
      </x:c>
      <x:c r="AA161" s="23" t="n">
        <x:v>0</x:v>
      </x:c>
      <x:c r="AB161" s="23" t="n">
        <x:v>3291005.309397567</x:v>
      </x:c>
      <x:c r="AC161" s="23" t="n">
        <x:v>76453.03619456926</x:v>
      </x:c>
      <x:c r="AD161" s="19" t="n">
        <x:v>0</x:v>
      </x:c>
      <x:c r="AE161" s="19" t="n">
        <x:v>0</x:v>
      </x:c>
      <x:c r="AF161" s="19" t="n">
        <x:v>0</x:v>
      </x:c>
      <x:c r="AG161" s="19" t="n">
        <x:v>0</x:v>
      </x:c>
      <x:c r="AH161" s="19" t="n">
        <x:v>0</x:v>
      </x:c>
      <x:c r="AI161" s="19" t="n">
        <x:v>0</x:v>
      </x:c>
      <x:c r="AJ161" s="19" t="n">
        <x:v>0</x:v>
      </x:c>
      <x:c r="AK161" s="19" t="n">
        <x:v>0</x:v>
      </x:c>
      <x:c r="AL161" s="23" t="n">
        <x:v>207.15365083774697</x:v>
      </x:c>
      <x:c r="AM161" s="23" t="n">
        <x:v>19.851521484607737</x:v>
      </x:c>
      <x:c r="AN161" s="23" t="n">
        <x:v>73.39090853809752</x:v>
      </x:c>
      <x:c r="AO161" s="23" t="n">
        <x:v>6.115909044841462</x:v>
      </x:c>
      <x:c r="AP161" s="23" t="n">
        <x:v>65.09749563060865</x:v>
      </x:c>
      <x:c r="AQ161" s="19" t="n">
        <x:v>219</x:v>
      </x:c>
      <x:c r="AR161" s="19" t="n">
        <x:v>39</x:v>
      </x:c>
      <x:c r="AS161" s="19" t="n">
        <x:v>0</x:v>
      </x:c>
      <x:c r="AT161" s="19" t="n">
        <x:v>0</x:v>
      </x:c>
    </x:row>
    <x:row r="162" ht="25" customHeight="1">
      <x:c r="A162" s="18" t="str">
        <x:v>no_purchases</x:v>
      </x:c>
      <x:c r="B162" s="18" t="n">
        <x:v>15</x:v>
      </x:c>
      <x:c r="C162" s="18" t="n">
        <x:v>30</x:v>
      </x:c>
      <x:c r="D162" s="18" t="n">
        <x:v>20</x:v>
      </x:c>
      <x:c r="E162" s="18" t="n">
        <x:v>21</x:v>
      </x:c>
      <x:c r="F162" s="18" t="n">
        <x:v>80</x:v>
      </x:c>
      <x:c r="G162" s="18" t="n">
        <x:v>53103</x:v>
      </x:c>
      <x:c r="H162" s="18" t="n">
        <x:v>9625</x:v>
      </x:c>
      <x:c r="I162" s="20" t="n">
        <x:v>2311.1029268447587</x:v>
      </x:c>
      <x:c r="J162" s="20" t="n">
        <x:v>4.35</x:v>
      </x:c>
      <x:c r="K162" s="18" t="n">
        <x:v>0</x:v>
      </x:c>
      <x:c r="L162" s="18" t="n">
        <x:v>0</x:v>
      </x:c>
      <x:c r="M162" s="18" t="n">
        <x:v>240</x:v>
      </x:c>
      <x:c r="N162" s="18" t="n">
        <x:v>2</x:v>
      </x:c>
      <x:c r="O162" s="22" t="n">
        <x:v>389.04387629436144</x:v>
      </x:c>
      <x:c r="P162" s="22" t="n">
        <x:v>279.860508129019</x:v>
      </x:c>
      <x:c r="Q162" s="22" t="n">
        <x:v>45.388452234342154</x:v>
      </x:c>
      <x:c r="R162" s="22" t="n">
        <x:v>46.52316354020072</x:v>
      </x:c>
      <x:c r="S162" s="24" t="n">
        <x:v>0.050000000000000044</x:v>
      </x:c>
      <x:c r="T162" s="20" t="n">
        <x:v>1.5</x:v>
      </x:c>
      <x:c r="U162" s="22" t="n">
        <x:v>135378.33790046573</x:v>
      </x:c>
      <x:c r="V162" s="22" t="n">
        <x:v>347885.4816996268</x:v>
      </x:c>
      <x:c r="W162" s="22" t="n">
        <x:v>3034049.0187306833</x:v>
      </x:c>
      <x:c r="X162" s="22" t="n">
        <x:v>3261737.5087203593</x:v>
      </x:c>
      <x:c r="Y162" s="22" t="n">
        <x:v>76640.84257367994</x:v>
      </x:c>
      <x:c r="Z162" s="22" t="n">
        <x:v>0</x:v>
      </x:c>
      <x:c r="AA162" s="22" t="n">
        <x:v>0</x:v>
      </x:c>
      <x:c r="AB162" s="22" t="n">
        <x:v>3261737.5087203593</x:v>
      </x:c>
      <x:c r="AC162" s="22" t="n">
        <x:v>76640.84257367994</x:v>
      </x:c>
      <x:c r="AD162" s="18" t="n">
        <x:v>0</x:v>
      </x:c>
      <x:c r="AE162" s="18" t="n">
        <x:v>0</x:v>
      </x:c>
      <x:c r="AF162" s="18" t="n">
        <x:v>0</x:v>
      </x:c>
      <x:c r="AG162" s="18" t="n">
        <x:v>0</x:v>
      </x:c>
      <x:c r="AH162" s="18" t="n">
        <x:v>0</x:v>
      </x:c>
      <x:c r="AI162" s="18" t="n">
        <x:v>0</x:v>
      </x:c>
      <x:c r="AJ162" s="18" t="n">
        <x:v>0</x:v>
      </x:c>
      <x:c r="AK162" s="18" t="n">
        <x:v>0</x:v>
      </x:c>
      <x:c r="AL162" s="22" t="n">
        <x:v>207.15365083774697</x:v>
      </x:c>
      <x:c r="AM162" s="22" t="n">
        <x:v>19.851521484607737</x:v>
      </x:c>
      <x:c r="AN162" s="22" t="n">
        <x:v>73.39090853809752</x:v>
      </x:c>
      <x:c r="AO162" s="22" t="n">
        <x:v>6.115909044841462</x:v>
      </x:c>
      <x:c r="AP162" s="22" t="n">
        <x:v>65.09749563060865</x:v>
      </x:c>
      <x:c r="AQ162" s="18" t="n">
        <x:v>221</x:v>
      </x:c>
      <x:c r="AR162" s="18" t="n">
        <x:v>39</x:v>
      </x:c>
      <x:c r="AS162" s="18" t="n">
        <x:v>0</x:v>
      </x:c>
      <x:c r="AT162" s="18" t="n">
        <x:v>0</x:v>
      </x:c>
    </x:row>
    <x:row r="163" ht="25" customHeight="1">
      <x:c r="A163" s="19" t="str">
        <x:v>no_purchases</x:v>
      </x:c>
      <x:c r="B163" s="19" t="n">
        <x:v>16</x:v>
      </x:c>
      <x:c r="C163" s="19" t="n">
        <x:v>30</x:v>
      </x:c>
      <x:c r="D163" s="19" t="n">
        <x:v>19</x:v>
      </x:c>
      <x:c r="E163" s="19" t="n">
        <x:v>20</x:v>
      </x:c>
      <x:c r="F163" s="19" t="n">
        <x:v>80</x:v>
      </x:c>
      <x:c r="G163" s="19" t="n">
        <x:v>54264</x:v>
      </x:c>
      <x:c r="H163" s="19" t="n">
        <x:v>9158</x:v>
      </x:c>
      <x:c r="I163" s="21" t="n">
        <x:v>2015.4954023995651</x:v>
      </x:c>
      <x:c r="J163" s="21" t="n">
        <x:v>4.35</x:v>
      </x:c>
      <x:c r="K163" s="19" t="n">
        <x:v>0</x:v>
      </x:c>
      <x:c r="L163" s="19" t="n">
        <x:v>0</x:v>
      </x:c>
      <x:c r="M163" s="19" t="n">
        <x:v>240</x:v>
      </x:c>
      <x:c r="N163" s="19" t="n">
        <x:v>5</x:v>
      </x:c>
      <x:c r="O163" s="23" t="n">
        <x:v>389.04387629436144</x:v>
      </x:c>
      <x:c r="P163" s="23" t="n">
        <x:v>156.0447978365237</x:v>
      </x:c>
      <x:c r="Q163" s="23" t="n">
        <x:v>45.388452234342154</x:v>
      </x:c>
      <x:c r="R163" s="23" t="n">
        <x:v>46.52316354020072</x:v>
      </x:c>
      <x:c r="S163" s="25" t="n">
        <x:v>0.050000000000000044</x:v>
      </x:c>
      <x:c r="T163" s="21" t="n">
        <x:v>1.5</x:v>
      </x:c>
      <x:c r="U163" s="23" t="n">
        <x:v>70060.13614997311</x:v>
      </x:c>
      <x:c r="V163" s="23" t="n">
        <x:v>347885.4816996268</x:v>
      </x:c>
      <x:c r="W163" s="23" t="n">
        <x:v>2968730.81698019</x:v>
      </x:c>
      <x:c r="X163" s="23" t="n">
        <x:v>3127515.927183657</x:v>
      </x:c>
      <x:c r="Y163" s="23" t="n">
        <x:v>73056.43106563184</x:v>
      </x:c>
      <x:c r="Z163" s="23" t="n">
        <x:v>0</x:v>
      </x:c>
      <x:c r="AA163" s="23" t="n">
        <x:v>0</x:v>
      </x:c>
      <x:c r="AB163" s="23" t="n">
        <x:v>3127515.927183657</x:v>
      </x:c>
      <x:c r="AC163" s="23" t="n">
        <x:v>73056.43106563184</x:v>
      </x:c>
      <x:c r="AD163" s="19" t="n">
        <x:v>0</x:v>
      </x:c>
      <x:c r="AE163" s="19" t="n">
        <x:v>0</x:v>
      </x:c>
      <x:c r="AF163" s="19" t="n">
        <x:v>0</x:v>
      </x:c>
      <x:c r="AG163" s="19" t="n">
        <x:v>0</x:v>
      </x:c>
      <x:c r="AH163" s="19" t="n">
        <x:v>0</x:v>
      </x:c>
      <x:c r="AI163" s="19" t="n">
        <x:v>0</x:v>
      </x:c>
      <x:c r="AJ163" s="19" t="n">
        <x:v>0</x:v>
      </x:c>
      <x:c r="AK163" s="19" t="n">
        <x:v>0</x:v>
      </x:c>
      <x:c r="AL163" s="23" t="n">
        <x:v>191.80893596087677</x:v>
      </x:c>
      <x:c r="AM163" s="23" t="n">
        <x:v>18.63992627662699</x:v>
      </x:c>
      <x:c r="AN163" s="23" t="n">
        <x:v>66.71900776190682</x:v>
      </x:c>
      <x:c r="AO163" s="23" t="n">
        <x:v>5.559917313492239</x:v>
      </x:c>
      <x:c r="AP163" s="23" t="n">
        <x:v>60.838780963185634</x:v>
      </x:c>
      <x:c r="AQ163" s="19" t="n">
        <x:v>226</x:v>
      </x:c>
      <x:c r="AR163" s="19" t="n">
        <x:v>37</x:v>
      </x:c>
      <x:c r="AS163" s="19" t="n">
        <x:v>0</x:v>
      </x:c>
      <x:c r="AT163" s="19" t="n">
        <x:v>0</x:v>
      </x:c>
    </x:row>
    <x:row r="164" ht="25" customHeight="1">
      <x:c r="A164" s="18" t="str">
        <x:v>no_purchases</x:v>
      </x:c>
      <x:c r="B164" s="18" t="n">
        <x:v>17</x:v>
      </x:c>
      <x:c r="C164" s="18" t="n">
        <x:v>30</x:v>
      </x:c>
      <x:c r="D164" s="18" t="n">
        <x:v>19</x:v>
      </x:c>
      <x:c r="E164" s="18" t="n">
        <x:v>20</x:v>
      </x:c>
      <x:c r="F164" s="18" t="n">
        <x:v>80</x:v>
      </x:c>
      <x:c r="G164" s="18" t="n">
        <x:v>54173</x:v>
      </x:c>
      <x:c r="H164" s="18" t="n">
        <x:v>9216</x:v>
      </x:c>
      <x:c r="I164" s="20" t="n">
        <x:v>891.9660138041249</x:v>
      </x:c>
      <x:c r="J164" s="20" t="n">
        <x:v>4.35</x:v>
      </x:c>
      <x:c r="K164" s="18" t="n">
        <x:v>0</x:v>
      </x:c>
      <x:c r="L164" s="18" t="n">
        <x:v>0</x:v>
      </x:c>
      <x:c r="M164" s="18" t="n">
        <x:v>240</x:v>
      </x:c>
      <x:c r="N164" s="18" t="n">
        <x:v>5</x:v>
      </x:c>
      <x:c r="O164" s="22" t="n">
        <x:v>389.04387629436144</x:v>
      </x:c>
      <x:c r="P164" s="22" t="n">
        <x:v>165.36476097483754</x:v>
      </x:c>
      <x:c r="Q164" s="22" t="n">
        <x:v>45.388452234342154</x:v>
      </x:c>
      <x:c r="R164" s="22" t="n">
        <x:v>46.52316354020072</x:v>
      </x:c>
      <x:c r="S164" s="24" t="n">
        <x:v>0.050000000000000044</x:v>
      </x:c>
      <x:c r="T164" s="20" t="n">
        <x:v>1.5</x:v>
      </x:c>
      <x:c r="U164" s="22" t="n">
        <x:v>132877.8463684515</x:v>
      </x:c>
      <x:c r="V164" s="22" t="n">
        <x:v>347885.4816996268</x:v>
      </x:c>
      <x:c r="W164" s="22" t="n">
        <x:v>3031548.5271986676</x:v>
      </x:c>
      <x:c r="X164" s="22" t="n">
        <x:v>3226265.7494355612</x:v>
      </x:c>
      <x:c r="Y164" s="22" t="n">
        <x:v>75071.20039644199</x:v>
      </x:c>
      <x:c r="Z164" s="22" t="n">
        <x:v>0</x:v>
      </x:c>
      <x:c r="AA164" s="22" t="n">
        <x:v>0</x:v>
      </x:c>
      <x:c r="AB164" s="22" t="n">
        <x:v>3226265.7494355612</x:v>
      </x:c>
      <x:c r="AC164" s="22" t="n">
        <x:v>75071.20039644199</x:v>
      </x:c>
      <x:c r="AD164" s="18" t="n">
        <x:v>0</x:v>
      </x:c>
      <x:c r="AE164" s="18" t="n">
        <x:v>0</x:v>
      </x:c>
      <x:c r="AF164" s="18" t="n">
        <x:v>0</x:v>
      </x:c>
      <x:c r="AG164" s="18" t="n">
        <x:v>0</x:v>
      </x:c>
      <x:c r="AH164" s="18" t="n">
        <x:v>0</x:v>
      </x:c>
      <x:c r="AI164" s="18" t="n">
        <x:v>0</x:v>
      </x:c>
      <x:c r="AJ164" s="18" t="n">
        <x:v>0</x:v>
      </x:c>
      <x:c r="AK164" s="18" t="n">
        <x:v>0</x:v>
      </x:c>
      <x:c r="AL164" s="22" t="n">
        <x:v>191.80893596087677</x:v>
      </x:c>
      <x:c r="AM164" s="22" t="n">
        <x:v>18.63992627662699</x:v>
      </x:c>
      <x:c r="AN164" s="22" t="n">
        <x:v>66.71900776190682</x:v>
      </x:c>
      <x:c r="AO164" s="22" t="n">
        <x:v>5.559917313492239</x:v>
      </x:c>
      <x:c r="AP164" s="22" t="n">
        <x:v>60.838780963185634</x:v>
      </x:c>
      <x:c r="AQ164" s="18" t="n">
        <x:v>225</x:v>
      </x:c>
      <x:c r="AR164" s="18" t="n">
        <x:v>37</x:v>
      </x:c>
      <x:c r="AS164" s="18" t="n">
        <x:v>0</x:v>
      </x:c>
      <x:c r="AT164" s="18" t="n">
        <x:v>0</x:v>
      </x:c>
    </x:row>
    <x:row r="165" ht="25" customHeight="1">
      <x:c r="A165" s="19" t="str">
        <x:v>no_purchases</x:v>
      </x:c>
      <x:c r="B165" s="19" t="n">
        <x:v>18</x:v>
      </x:c>
      <x:c r="C165" s="19" t="n">
        <x:v>30</x:v>
      </x:c>
      <x:c r="D165" s="19" t="n">
        <x:v>20</x:v>
      </x:c>
      <x:c r="E165" s="19" t="n">
        <x:v>21</x:v>
      </x:c>
      <x:c r="F165" s="19" t="n">
        <x:v>80</x:v>
      </x:c>
      <x:c r="G165" s="19" t="n">
        <x:v>52158</x:v>
      </x:c>
      <x:c r="H165" s="19" t="n">
        <x:v>10044</x:v>
      </x:c>
      <x:c r="I165" s="21" t="n">
        <x:v>1771.9085706481503</x:v>
      </x:c>
      <x:c r="J165" s="21" t="n">
        <x:v>4.35</x:v>
      </x:c>
      <x:c r="K165" s="19" t="n">
        <x:v>0</x:v>
      </x:c>
      <x:c r="L165" s="19" t="n">
        <x:v>0</x:v>
      </x:c>
      <x:c r="M165" s="19" t="n">
        <x:v>240</x:v>
      </x:c>
      <x:c r="N165" s="19" t="n">
        <x:v>3</x:v>
      </x:c>
      <x:c r="O165" s="23" t="n">
        <x:v>389.04387629436144</x:v>
      </x:c>
      <x:c r="P165" s="23" t="n">
        <x:v>260.0089866444114</x:v>
      </x:c>
      <x:c r="Q165" s="23" t="n">
        <x:v>45.388452234342154</x:v>
      </x:c>
      <x:c r="R165" s="23" t="n">
        <x:v>46.52316354020072</x:v>
      </x:c>
      <x:c r="S165" s="25" t="n">
        <x:v>0.050000000000000044</x:v>
      </x:c>
      <x:c r="T165" s="21" t="n">
        <x:v>1.5</x:v>
      </x:c>
      <x:c r="U165" s="23" t="n">
        <x:v>159486.2843285352</x:v>
      </x:c>
      <x:c r="V165" s="23" t="n">
        <x:v>347885.4816996268</x:v>
      </x:c>
      <x:c r="W165" s="23" t="n">
        <x:v>3058156.9651587545</x:v>
      </x:c>
      <x:c r="X165" s="23" t="n">
        <x:v>3320101.320624817</x:v>
      </x:c>
      <x:c r="Y165" s="23" t="n">
        <x:v>77107.36442366437</x:v>
      </x:c>
      <x:c r="Z165" s="23" t="n">
        <x:v>0</x:v>
      </x:c>
      <x:c r="AA165" s="23" t="n">
        <x:v>0</x:v>
      </x:c>
      <x:c r="AB165" s="23" t="n">
        <x:v>3320101.320624817</x:v>
      </x:c>
      <x:c r="AC165" s="23" t="n">
        <x:v>77107.36442366437</x:v>
      </x:c>
      <x:c r="AD165" s="19" t="n">
        <x:v>0</x:v>
      </x:c>
      <x:c r="AE165" s="19" t="n">
        <x:v>0</x:v>
      </x:c>
      <x:c r="AF165" s="19" t="n">
        <x:v>0</x:v>
      </x:c>
      <x:c r="AG165" s="19" t="n">
        <x:v>0</x:v>
      </x:c>
      <x:c r="AH165" s="19" t="n">
        <x:v>0</x:v>
      </x:c>
      <x:c r="AI165" s="19" t="n">
        <x:v>0</x:v>
      </x:c>
      <x:c r="AJ165" s="19" t="n">
        <x:v>0</x:v>
      </x:c>
      <x:c r="AK165" s="19" t="n">
        <x:v>0</x:v>
      </x:c>
      <x:c r="AL165" s="23" t="n">
        <x:v>207.15365083774697</x:v>
      </x:c>
      <x:c r="AM165" s="23" t="n">
        <x:v>19.851521484607737</x:v>
      </x:c>
      <x:c r="AN165" s="23" t="n">
        <x:v>73.39090853809752</x:v>
      </x:c>
      <x:c r="AO165" s="23" t="n">
        <x:v>6.115909044841462</x:v>
      </x:c>
      <x:c r="AP165" s="23" t="n">
        <x:v>65.09749563060865</x:v>
      </x:c>
      <x:c r="AQ165" s="19" t="n">
        <x:v>220</x:v>
      </x:c>
      <x:c r="AR165" s="19" t="n">
        <x:v>40</x:v>
      </x:c>
      <x:c r="AS165" s="19" t="n">
        <x:v>-1</x:v>
      </x:c>
      <x:c r="AT165" s="19" t="n">
        <x:v>0</x:v>
      </x:c>
    </x:row>
    <x:row r="166" ht="25" customHeight="1">
      <x:c r="A166" s="18" t="str">
        <x:v>no_purchases</x:v>
      </x:c>
      <x:c r="B166" s="18" t="n">
        <x:v>19</x:v>
      </x:c>
      <x:c r="C166" s="18" t="n">
        <x:v>30</x:v>
      </x:c>
      <x:c r="D166" s="18" t="n">
        <x:v>20</x:v>
      </x:c>
      <x:c r="E166" s="18" t="n">
        <x:v>21</x:v>
      </x:c>
      <x:c r="F166" s="18" t="n">
        <x:v>80</x:v>
      </x:c>
      <x:c r="G166" s="18" t="n">
        <x:v>52949</x:v>
      </x:c>
      <x:c r="H166" s="18" t="n">
        <x:v>9721</x:v>
      </x:c>
      <x:c r="I166" s="20" t="n">
        <x:v>2106.5448617671236</x:v>
      </x:c>
      <x:c r="J166" s="20" t="n">
        <x:v>4.35</x:v>
      </x:c>
      <x:c r="K166" s="18" t="n">
        <x:v>0</x:v>
      </x:c>
      <x:c r="L166" s="18" t="n">
        <x:v>0</x:v>
      </x:c>
      <x:c r="M166" s="18" t="n">
        <x:v>240</x:v>
      </x:c>
      <x:c r="N166" s="18" t="n">
        <x:v>3</x:v>
      </x:c>
      <x:c r="O166" s="22" t="n">
        <x:v>389.04387629436144</x:v>
      </x:c>
      <x:c r="P166" s="22" t="n">
        <x:v>269.9347473867153</x:v>
      </x:c>
      <x:c r="Q166" s="22" t="n">
        <x:v>45.388452234342154</x:v>
      </x:c>
      <x:c r="R166" s="22" t="n">
        <x:v>46.52316354020072</x:v>
      </x:c>
      <x:c r="S166" s="24" t="n">
        <x:v>0.050000000000000044</x:v>
      </x:c>
      <x:c r="T166" s="20" t="n">
        <x:v>1.5</x:v>
      </x:c>
      <x:c r="U166" s="22" t="n">
        <x:v>154788.48396671933</x:v>
      </x:c>
      <x:c r="V166" s="22" t="n">
        <x:v>347885.4816996268</x:v>
      </x:c>
      <x:c r="W166" s="22" t="n">
        <x:v>3053459.1647969363</x:v>
      </x:c>
      <x:c r="X166" s="22" t="n">
        <x:v>3292175.252455621</x:v>
      </x:c>
      <x:c r="Y166" s="22" t="n">
        <x:v>76381.26061186631</x:v>
      </x:c>
      <x:c r="Z166" s="22" t="n">
        <x:v>0</x:v>
      </x:c>
      <x:c r="AA166" s="22" t="n">
        <x:v>0</x:v>
      </x:c>
      <x:c r="AB166" s="22" t="n">
        <x:v>3292175.252455621</x:v>
      </x:c>
      <x:c r="AC166" s="22" t="n">
        <x:v>76381.26061186631</x:v>
      </x:c>
      <x:c r="AD166" s="18" t="n">
        <x:v>0</x:v>
      </x:c>
      <x:c r="AE166" s="18" t="n">
        <x:v>0</x:v>
      </x:c>
      <x:c r="AF166" s="18" t="n">
        <x:v>0</x:v>
      </x:c>
      <x:c r="AG166" s="18" t="n">
        <x:v>0</x:v>
      </x:c>
      <x:c r="AH166" s="18" t="n">
        <x:v>0</x:v>
      </x:c>
      <x:c r="AI166" s="18" t="n">
        <x:v>0</x:v>
      </x:c>
      <x:c r="AJ166" s="18" t="n">
        <x:v>0</x:v>
      </x:c>
      <x:c r="AK166" s="18" t="n">
        <x:v>0</x:v>
      </x:c>
      <x:c r="AL166" s="22" t="n">
        <x:v>207.15365083774697</x:v>
      </x:c>
      <x:c r="AM166" s="22" t="n">
        <x:v>19.851521484607737</x:v>
      </x:c>
      <x:c r="AN166" s="22" t="n">
        <x:v>73.39090853809752</x:v>
      </x:c>
      <x:c r="AO166" s="22" t="n">
        <x:v>6.115909044841462</x:v>
      </x:c>
      <x:c r="AP166" s="22" t="n">
        <x:v>65.09749563060865</x:v>
      </x:c>
      <x:c r="AQ166" s="18" t="n">
        <x:v>221</x:v>
      </x:c>
      <x:c r="AR166" s="18" t="n">
        <x:v>39</x:v>
      </x:c>
      <x:c r="AS166" s="18" t="n">
        <x:v>0</x:v>
      </x:c>
      <x:c r="AT166" s="18" t="n">
        <x:v>0</x:v>
      </x:c>
    </x:row>
    <x:row r="167" ht="25" customHeight="1">
      <x:c r="A167" s="19" t="str">
        <x:v>no_purchases</x:v>
      </x:c>
      <x:c r="B167" s="19" t="n">
        <x:v>20</x:v>
      </x:c>
      <x:c r="C167" s="19" t="n">
        <x:v>30</x:v>
      </x:c>
      <x:c r="D167" s="19" t="n">
        <x:v>19</x:v>
      </x:c>
      <x:c r="E167" s="19" t="n">
        <x:v>20</x:v>
      </x:c>
      <x:c r="F167" s="19" t="n">
        <x:v>80</x:v>
      </x:c>
      <x:c r="G167" s="19" t="n">
        <x:v>53928</x:v>
      </x:c>
      <x:c r="H167" s="19" t="n">
        <x:v>9309</x:v>
      </x:c>
      <x:c r="I167" s="21" t="n">
        <x:v>2003.1957465462165</x:v>
      </x:c>
      <x:c r="J167" s="21" t="n">
        <x:v>4.35</x:v>
      </x:c>
      <x:c r="K167" s="19" t="n">
        <x:v>0</x:v>
      </x:c>
      <x:c r="L167" s="19" t="n">
        <x:v>0</x:v>
      </x:c>
      <x:c r="M167" s="19" t="n">
        <x:v>240</x:v>
      </x:c>
      <x:c r="N167" s="19" t="n">
        <x:v>5</x:v>
      </x:c>
      <x:c r="O167" s="23" t="n">
        <x:v>389.04387629436144</x:v>
      </x:c>
      <x:c r="P167" s="23" t="n">
        <x:v>165.36476097483754</x:v>
      </x:c>
      <x:c r="Q167" s="23" t="n">
        <x:v>45.388452234342154</x:v>
      </x:c>
      <x:c r="R167" s="23" t="n">
        <x:v>46.52316354020072</x:v>
      </x:c>
      <x:c r="S167" s="25" t="n">
        <x:v>0.050000000000000044</x:v>
      </x:c>
      <x:c r="T167" s="21" t="n">
        <x:v>1.5</x:v>
      </x:c>
      <x:c r="U167" s="23" t="n">
        <x:v>125562.79792680113</x:v>
      </x:c>
      <x:c r="V167" s="23" t="n">
        <x:v>347885.4816996268</x:v>
      </x:c>
      <x:c r="W167" s="23" t="n">
        <x:v>3024233.4787570173</x:v>
      </x:c>
      <x:c r="X167" s="23" t="n">
        <x:v>3220564.9448999134</x:v>
      </x:c>
      <x:c r="Y167" s="23" t="n">
        <x:v>74775.75996840278</x:v>
      </x:c>
      <x:c r="Z167" s="23" t="n">
        <x:v>0</x:v>
      </x:c>
      <x:c r="AA167" s="23" t="n">
        <x:v>0</x:v>
      </x:c>
      <x:c r="AB167" s="23" t="n">
        <x:v>3220564.9448999134</x:v>
      </x:c>
      <x:c r="AC167" s="23" t="n">
        <x:v>74775.75996840278</x:v>
      </x:c>
      <x:c r="AD167" s="19" t="n">
        <x:v>0</x:v>
      </x:c>
      <x:c r="AE167" s="19" t="n">
        <x:v>0</x:v>
      </x:c>
      <x:c r="AF167" s="19" t="n">
        <x:v>0</x:v>
      </x:c>
      <x:c r="AG167" s="19" t="n">
        <x:v>0</x:v>
      </x:c>
      <x:c r="AH167" s="19" t="n">
        <x:v>0</x:v>
      </x:c>
      <x:c r="AI167" s="19" t="n">
        <x:v>0</x:v>
      </x:c>
      <x:c r="AJ167" s="19" t="n">
        <x:v>0</x:v>
      </x:c>
      <x:c r="AK167" s="19" t="n">
        <x:v>0</x:v>
      </x:c>
      <x:c r="AL167" s="23" t="n">
        <x:v>191.80893596087677</x:v>
      </x:c>
      <x:c r="AM167" s="23" t="n">
        <x:v>18.63992627662699</x:v>
      </x:c>
      <x:c r="AN167" s="23" t="n">
        <x:v>66.71900776190682</x:v>
      </x:c>
      <x:c r="AO167" s="23" t="n">
        <x:v>5.559917313492239</x:v>
      </x:c>
      <x:c r="AP167" s="23" t="n">
        <x:v>60.838780963185634</x:v>
      </x:c>
      <x:c r="AQ167" s="19" t="n">
        <x:v>225</x:v>
      </x:c>
      <x:c r="AR167" s="19" t="n">
        <x:v>37</x:v>
      </x:c>
      <x:c r="AS167" s="19" t="n">
        <x:v>0</x:v>
      </x:c>
      <x:c r="AT167" s="19" t="n">
        <x:v>0</x:v>
      </x:c>
    </x:row>
  </x:sheetData>
  <x:pageMargins left="0.7" right="0.7" top="0.75" bottom="0.75" header="0.3" footer="0.3"/>
</x:worksheet>
</file>